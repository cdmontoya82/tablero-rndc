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0" hidden="1">Rutas!$A$1:$M$1302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2" i="2"/>
  <c r="F2" i="1"/>
</calcChain>
</file>

<file path=xl/sharedStrings.xml><?xml version="1.0" encoding="utf-8"?>
<sst xmlns="http://schemas.openxmlformats.org/spreadsheetml/2006/main" count="21101" uniqueCount="307">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</sst>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2"/>
  <sheetViews>
    <sheetView tabSelected="1" workbookViewId="0">
      <selection sqref="A1:M3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4" t="s">
        <v>215</v>
      </c>
    </row>
    <row r="2" spans="1:13">
      <c r="A2" s="15">
        <v>46235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7">
        <f>IFERROR(VLOOKUP(F2,Hoja2!$K$2:$M$1198,2,FALSE),0)</f>
        <v>11001000</v>
      </c>
      <c r="H2" s="17">
        <f>IFERROR(VLOOKUP(F2,Hoja2!$K$2:$M$1198,3,FALSE),0)</f>
        <v>76892000</v>
      </c>
      <c r="I2" s="3" t="s">
        <v>7</v>
      </c>
      <c r="J2" s="3" t="s">
        <v>217</v>
      </c>
      <c r="K2" s="3" t="s">
        <v>219</v>
      </c>
      <c r="L2" s="12">
        <v>601831</v>
      </c>
      <c r="M2" s="11">
        <v>1989497</v>
      </c>
    </row>
    <row r="3" spans="1:13">
      <c r="A3" s="15">
        <v>46235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7">
        <f>IFERROR(VLOOKUP(F3,Hoja2!$K$2:$M$1198,2,FALSE),0)</f>
        <v>76892000</v>
      </c>
      <c r="H3" s="17">
        <f>IFERROR(VLOOKUP(F3,Hoja2!$K$2:$M$1198,3,FALSE),0)</f>
        <v>11001000</v>
      </c>
      <c r="I3" s="3" t="s">
        <v>7</v>
      </c>
      <c r="J3" s="3" t="s">
        <v>217</v>
      </c>
      <c r="K3" s="3" t="s">
        <v>219</v>
      </c>
      <c r="L3" s="12">
        <v>601831</v>
      </c>
      <c r="M3" s="11">
        <v>1966031</v>
      </c>
    </row>
    <row r="4" spans="1:13">
      <c r="A4" s="15">
        <v>46235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7">
        <f>IFERROR(VLOOKUP(F4,Hoja2!$K$2:$M$1198,2,FALSE),0)</f>
        <v>76892000</v>
      </c>
      <c r="H4" s="17">
        <f>IFERROR(VLOOKUP(F4,Hoja2!$K$2:$M$1198,3,FALSE),0)</f>
        <v>5088000</v>
      </c>
      <c r="I4" s="3" t="s">
        <v>7</v>
      </c>
      <c r="J4" s="3" t="s">
        <v>217</v>
      </c>
      <c r="K4" s="3" t="s">
        <v>219</v>
      </c>
      <c r="L4" s="12">
        <v>601854</v>
      </c>
      <c r="M4" s="11">
        <v>1916533</v>
      </c>
    </row>
    <row r="5" spans="1:13">
      <c r="A5" s="15">
        <v>46235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7">
        <f>IFERROR(VLOOKUP(F5,Hoja2!$K$2:$M$1198,2,FALSE),0)</f>
        <v>8433000</v>
      </c>
      <c r="H5" s="17">
        <f>IFERROR(VLOOKUP(F5,Hoja2!$K$2:$M$1198,3,FALSE),0)</f>
        <v>5088000</v>
      </c>
      <c r="I5" s="3" t="s">
        <v>7</v>
      </c>
      <c r="J5" s="3" t="s">
        <v>217</v>
      </c>
      <c r="K5" s="3" t="s">
        <v>219</v>
      </c>
      <c r="L5" s="12">
        <v>601854</v>
      </c>
      <c r="M5" s="11">
        <v>2832834</v>
      </c>
    </row>
    <row r="6" spans="1:13">
      <c r="A6" s="15">
        <v>46235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7">
        <f>IFERROR(VLOOKUP(F6,Hoja2!$K$2:$M$1198,2,FALSE),0)</f>
        <v>11001000</v>
      </c>
      <c r="H6" s="17">
        <f>IFERROR(VLOOKUP(F6,Hoja2!$K$2:$M$1198,3,FALSE),0)</f>
        <v>5088000</v>
      </c>
      <c r="I6" s="3" t="s">
        <v>7</v>
      </c>
      <c r="J6" s="3" t="s">
        <v>217</v>
      </c>
      <c r="K6" s="3" t="s">
        <v>219</v>
      </c>
      <c r="L6" s="12">
        <v>631814</v>
      </c>
      <c r="M6" s="11">
        <v>1915470</v>
      </c>
    </row>
    <row r="7" spans="1:13">
      <c r="A7" s="15">
        <v>46235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7">
        <f>IFERROR(VLOOKUP(F7,Hoja2!$K$2:$M$1198,2,FALSE),0)</f>
        <v>11001000</v>
      </c>
      <c r="H7" s="17">
        <f>IFERROR(VLOOKUP(F7,Hoja2!$K$2:$M$1198,3,FALSE),0)</f>
        <v>68547000</v>
      </c>
      <c r="I7" s="3" t="s">
        <v>7</v>
      </c>
      <c r="J7" s="3" t="s">
        <v>217</v>
      </c>
      <c r="K7" s="3" t="s">
        <v>219</v>
      </c>
      <c r="L7" s="12">
        <v>518820</v>
      </c>
      <c r="M7" s="11">
        <v>1887811</v>
      </c>
    </row>
    <row r="8" spans="1:13">
      <c r="A8" s="15">
        <v>46235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7">
        <f>IFERROR(VLOOKUP(F8,Hoja2!$K$2:$M$1198,2,FALSE),0)</f>
        <v>8433000</v>
      </c>
      <c r="H8" s="17">
        <f>IFERROR(VLOOKUP(F8,Hoja2!$K$2:$M$1198,3,FALSE),0)</f>
        <v>68547000</v>
      </c>
      <c r="I8" s="3" t="s">
        <v>7</v>
      </c>
      <c r="J8" s="3" t="s">
        <v>217</v>
      </c>
      <c r="K8" s="3" t="s">
        <v>219</v>
      </c>
      <c r="L8" s="12">
        <v>518840</v>
      </c>
      <c r="M8" s="11">
        <v>2679623</v>
      </c>
    </row>
    <row r="9" spans="1:13">
      <c r="A9" s="15">
        <v>46235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7">
        <f>IFERROR(VLOOKUP(F9,Hoja2!$K$2:$M$1198,2,FALSE),0)</f>
        <v>68547000</v>
      </c>
      <c r="H9" s="17">
        <f>IFERROR(VLOOKUP(F9,Hoja2!$K$2:$M$1198,3,FALSE),0)</f>
        <v>54001000</v>
      </c>
      <c r="I9" s="3" t="s">
        <v>7</v>
      </c>
      <c r="J9" s="3" t="s">
        <v>217</v>
      </c>
      <c r="K9" s="3" t="s">
        <v>219</v>
      </c>
      <c r="L9" s="12">
        <v>518840</v>
      </c>
      <c r="M9" s="11">
        <v>1304435</v>
      </c>
    </row>
    <row r="10" spans="1:13">
      <c r="A10" s="15">
        <v>46235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7">
        <f>IFERROR(VLOOKUP(F10,Hoja2!$K$2:$M$1198,2,FALSE),0)</f>
        <v>76892000</v>
      </c>
      <c r="H10" s="17">
        <f>IFERROR(VLOOKUP(F10,Hoja2!$K$2:$M$1198,3,FALSE),0)</f>
        <v>41001000</v>
      </c>
      <c r="I10" s="3" t="s">
        <v>7</v>
      </c>
      <c r="J10" s="3" t="s">
        <v>217</v>
      </c>
      <c r="K10" s="3" t="s">
        <v>219</v>
      </c>
      <c r="L10" s="12">
        <v>616420</v>
      </c>
      <c r="M10" s="11">
        <v>2024731</v>
      </c>
    </row>
    <row r="11" spans="1:13">
      <c r="A11" s="15">
        <v>46235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7">
        <f>IFERROR(VLOOKUP(F11,Hoja2!$K$2:$M$1198,2,FALSE),0)</f>
        <v>5088000</v>
      </c>
      <c r="H11" s="17">
        <f>IFERROR(VLOOKUP(F11,Hoja2!$K$2:$M$1198,3,FALSE),0)</f>
        <v>76892000</v>
      </c>
      <c r="I11" s="3" t="s">
        <v>7</v>
      </c>
      <c r="J11" s="3" t="s">
        <v>217</v>
      </c>
      <c r="K11" s="3" t="s">
        <v>219</v>
      </c>
      <c r="L11" s="12">
        <v>518840</v>
      </c>
      <c r="M11" s="11">
        <v>1909051</v>
      </c>
    </row>
    <row r="12" spans="1:13">
      <c r="A12" s="15">
        <v>46235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7">
        <f>IFERROR(VLOOKUP(F12,Hoja2!$K$2:$M$1198,2,FALSE),0)</f>
        <v>8433000</v>
      </c>
      <c r="H12" s="17">
        <f>IFERROR(VLOOKUP(F12,Hoja2!$K$2:$M$1198,3,FALSE),0)</f>
        <v>5360000</v>
      </c>
      <c r="I12" s="3" t="s">
        <v>7</v>
      </c>
      <c r="J12" s="3" t="s">
        <v>217</v>
      </c>
      <c r="K12" s="3" t="s">
        <v>219</v>
      </c>
      <c r="L12" s="12">
        <v>518840</v>
      </c>
      <c r="M12" s="11">
        <v>2868377</v>
      </c>
    </row>
    <row r="13" spans="1:13">
      <c r="A13" s="15">
        <v>46235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7">
        <f>IFERROR(VLOOKUP(F13,Hoja2!$K$2:$M$1198,2,FALSE),0)</f>
        <v>5088000</v>
      </c>
      <c r="H13" s="17">
        <f>IFERROR(VLOOKUP(F13,Hoja2!$K$2:$M$1198,3,FALSE),0)</f>
        <v>8433000</v>
      </c>
      <c r="I13" s="3" t="s">
        <v>7</v>
      </c>
      <c r="J13" s="3" t="s">
        <v>217</v>
      </c>
      <c r="K13" s="3" t="s">
        <v>219</v>
      </c>
      <c r="L13" s="12">
        <v>518840</v>
      </c>
      <c r="M13" s="11">
        <v>2932449</v>
      </c>
    </row>
    <row r="14" spans="1:13">
      <c r="A14" s="15">
        <v>46235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7">
        <f>IFERROR(VLOOKUP(F14,Hoja2!$K$2:$M$1198,2,FALSE),0)</f>
        <v>5001000</v>
      </c>
      <c r="H14" s="17">
        <f>IFERROR(VLOOKUP(F14,Hoja2!$K$2:$M$1198,3,FALSE),0)</f>
        <v>8433000</v>
      </c>
      <c r="I14" s="3" t="s">
        <v>7</v>
      </c>
      <c r="J14" s="3" t="s">
        <v>217</v>
      </c>
      <c r="K14" s="3" t="s">
        <v>219</v>
      </c>
      <c r="L14" s="12">
        <v>518840</v>
      </c>
      <c r="M14" s="11">
        <v>2964644</v>
      </c>
    </row>
    <row r="15" spans="1:13">
      <c r="A15" s="15">
        <v>46235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7">
        <f>IFERROR(VLOOKUP(F15,Hoja2!$K$2:$M$1198,2,FALSE),0)</f>
        <v>11001000</v>
      </c>
      <c r="H15" s="17">
        <f>IFERROR(VLOOKUP(F15,Hoja2!$K$2:$M$1198,3,FALSE),0)</f>
        <v>41001000</v>
      </c>
      <c r="I15" s="3" t="s">
        <v>7</v>
      </c>
      <c r="J15" s="3" t="s">
        <v>217</v>
      </c>
      <c r="K15" s="3" t="s">
        <v>219</v>
      </c>
      <c r="L15" s="12">
        <v>616400</v>
      </c>
      <c r="M15" s="11">
        <v>1643568</v>
      </c>
    </row>
    <row r="16" spans="1:13">
      <c r="A16" s="15">
        <v>46235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7">
        <f>IFERROR(VLOOKUP(F16,Hoja2!$K$2:$M$1198,2,FALSE),0)</f>
        <v>19142000</v>
      </c>
      <c r="H16" s="17">
        <f>IFERROR(VLOOKUP(F16,Hoja2!$K$2:$M$1198,3,FALSE),0)</f>
        <v>5001000</v>
      </c>
      <c r="I16" s="3" t="s">
        <v>7</v>
      </c>
      <c r="J16" s="3" t="s">
        <v>217</v>
      </c>
      <c r="K16" s="3" t="s">
        <v>219</v>
      </c>
      <c r="L16" s="12">
        <v>518840</v>
      </c>
      <c r="M16" s="11">
        <v>2018769</v>
      </c>
    </row>
    <row r="17" spans="1:13">
      <c r="A17" s="15">
        <v>46235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7">
        <f>IFERROR(VLOOKUP(F17,Hoja2!$K$2:$M$1198,2,FALSE),0)</f>
        <v>76892000</v>
      </c>
      <c r="H17" s="17">
        <f>IFERROR(VLOOKUP(F17,Hoja2!$K$2:$M$1198,3,FALSE),0)</f>
        <v>73001000</v>
      </c>
      <c r="I17" s="3" t="s">
        <v>7</v>
      </c>
      <c r="J17" s="3" t="s">
        <v>217</v>
      </c>
      <c r="K17" s="3" t="s">
        <v>219</v>
      </c>
      <c r="L17" s="12">
        <v>518840</v>
      </c>
      <c r="M17" s="11">
        <v>1548198</v>
      </c>
    </row>
    <row r="18" spans="1:13">
      <c r="A18" s="15">
        <v>46235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7">
        <f>IFERROR(VLOOKUP(F18,Hoja2!$K$2:$M$1198,2,FALSE),0)</f>
        <v>5088000</v>
      </c>
      <c r="H18" s="17">
        <f>IFERROR(VLOOKUP(F18,Hoja2!$K$2:$M$1198,3,FALSE),0)</f>
        <v>11001000</v>
      </c>
      <c r="I18" s="3" t="s">
        <v>7</v>
      </c>
      <c r="J18" s="3" t="s">
        <v>217</v>
      </c>
      <c r="K18" s="3" t="s">
        <v>219</v>
      </c>
      <c r="L18" s="12">
        <v>544667</v>
      </c>
      <c r="M18" s="11">
        <v>1933987</v>
      </c>
    </row>
    <row r="19" spans="1:13">
      <c r="A19" s="15">
        <v>46235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7">
        <f>IFERROR(VLOOKUP(F19,Hoja2!$K$2:$M$1198,2,FALSE),0)</f>
        <v>19142000</v>
      </c>
      <c r="H19" s="17">
        <f>IFERROR(VLOOKUP(F19,Hoja2!$K$2:$M$1198,3,FALSE),0)</f>
        <v>5360000</v>
      </c>
      <c r="I19" s="3" t="s">
        <v>7</v>
      </c>
      <c r="J19" s="3" t="s">
        <v>217</v>
      </c>
      <c r="K19" s="3" t="s">
        <v>219</v>
      </c>
      <c r="L19" s="12">
        <v>518840</v>
      </c>
      <c r="M19" s="11">
        <v>1978872</v>
      </c>
    </row>
    <row r="20" spans="1:13">
      <c r="A20" s="15">
        <v>46235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7">
        <f>IFERROR(VLOOKUP(F20,Hoja2!$K$2:$M$1198,2,FALSE),0)</f>
        <v>76892000</v>
      </c>
      <c r="H20" s="17">
        <f>IFERROR(VLOOKUP(F20,Hoja2!$K$2:$M$1198,3,FALSE),0)</f>
        <v>73001000</v>
      </c>
      <c r="I20" s="3" t="s">
        <v>7</v>
      </c>
      <c r="J20" s="3" t="s">
        <v>217</v>
      </c>
      <c r="K20" s="3" t="s">
        <v>219</v>
      </c>
      <c r="L20" s="12">
        <v>520030</v>
      </c>
      <c r="M20" s="11">
        <v>1684630</v>
      </c>
    </row>
    <row r="21" spans="1:13">
      <c r="A21" s="15">
        <v>46235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7">
        <f>IFERROR(VLOOKUP(F21,Hoja2!$K$2:$M$1198,2,FALSE),0)</f>
        <v>11001000</v>
      </c>
      <c r="H21" s="17">
        <f>IFERROR(VLOOKUP(F21,Hoja2!$K$2:$M$1198,3,FALSE),0)</f>
        <v>25754000</v>
      </c>
      <c r="I21" s="3" t="s">
        <v>7</v>
      </c>
      <c r="J21" s="3" t="s">
        <v>217</v>
      </c>
      <c r="K21" s="3" t="s">
        <v>219</v>
      </c>
      <c r="L21" s="12">
        <v>518800</v>
      </c>
      <c r="M21" s="11">
        <v>312593</v>
      </c>
    </row>
    <row r="22" spans="1:13">
      <c r="A22" s="15">
        <v>46235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7">
        <f>IFERROR(VLOOKUP(F22,Hoja2!$K$2:$M$1198,2,FALSE),0)</f>
        <v>11001000</v>
      </c>
      <c r="H22" s="17">
        <f>IFERROR(VLOOKUP(F22,Hoja2!$K$2:$M$1198,3,FALSE),0)</f>
        <v>8433000</v>
      </c>
      <c r="I22" s="3" t="s">
        <v>7</v>
      </c>
      <c r="J22" s="3" t="s">
        <v>217</v>
      </c>
      <c r="K22" s="3" t="s">
        <v>219</v>
      </c>
      <c r="L22" s="12">
        <v>518820</v>
      </c>
      <c r="M22" s="11">
        <v>4277824</v>
      </c>
    </row>
    <row r="23" spans="1:13">
      <c r="A23" s="15">
        <v>46235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7">
        <f>IFERROR(VLOOKUP(F23,Hoja2!$K$2:$M$1198,2,FALSE),0)</f>
        <v>76892000</v>
      </c>
      <c r="H23" s="17">
        <f>IFERROR(VLOOKUP(F23,Hoja2!$K$2:$M$1198,3,FALSE),0)</f>
        <v>11001000</v>
      </c>
      <c r="I23" s="3" t="s">
        <v>7</v>
      </c>
      <c r="J23" s="3" t="s">
        <v>217</v>
      </c>
      <c r="K23" s="3" t="s">
        <v>219</v>
      </c>
      <c r="L23" s="12">
        <v>518820</v>
      </c>
      <c r="M23" s="11">
        <v>1964737</v>
      </c>
    </row>
    <row r="24" spans="1:13">
      <c r="A24" s="15">
        <v>46235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7">
        <f>IFERROR(VLOOKUP(F24,Hoja2!$K$2:$M$1198,2,FALSE),0)</f>
        <v>5001000</v>
      </c>
      <c r="H24" s="17">
        <f>IFERROR(VLOOKUP(F24,Hoja2!$K$2:$M$1198,3,FALSE),0)</f>
        <v>11001000</v>
      </c>
      <c r="I24" s="3" t="s">
        <v>7</v>
      </c>
      <c r="J24" s="3" t="s">
        <v>217</v>
      </c>
      <c r="K24" s="3" t="s">
        <v>219</v>
      </c>
      <c r="L24" s="12">
        <v>540965</v>
      </c>
      <c r="M24" s="11">
        <v>1943962</v>
      </c>
    </row>
    <row r="25" spans="1:13">
      <c r="A25" s="15">
        <v>46235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7">
        <f>IFERROR(VLOOKUP(F25,Hoja2!$K$2:$M$1198,2,FALSE),0)</f>
        <v>5001000</v>
      </c>
      <c r="H25" s="17">
        <f>IFERROR(VLOOKUP(F25,Hoja2!$K$2:$M$1198,3,FALSE),0)</f>
        <v>76892000</v>
      </c>
      <c r="I25" s="3" t="s">
        <v>7</v>
      </c>
      <c r="J25" s="3" t="s">
        <v>217</v>
      </c>
      <c r="K25" s="3" t="s">
        <v>219</v>
      </c>
      <c r="L25" s="12">
        <v>518840</v>
      </c>
      <c r="M25" s="11">
        <v>1876635</v>
      </c>
    </row>
    <row r="26" spans="1:13">
      <c r="A26" s="15">
        <v>46235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7">
        <f>IFERROR(VLOOKUP(F26,Hoja2!$K$2:$M$1198,2,FALSE),0)</f>
        <v>8433000</v>
      </c>
      <c r="H26" s="17">
        <f>IFERROR(VLOOKUP(F26,Hoja2!$K$2:$M$1198,3,FALSE),0)</f>
        <v>23001000</v>
      </c>
      <c r="I26" s="3" t="s">
        <v>7</v>
      </c>
      <c r="J26" s="3" t="s">
        <v>217</v>
      </c>
      <c r="K26" s="3" t="s">
        <v>219</v>
      </c>
      <c r="L26" s="12">
        <v>534310</v>
      </c>
      <c r="M26" s="11">
        <v>1692434</v>
      </c>
    </row>
    <row r="27" spans="1:13">
      <c r="A27" s="15">
        <v>46235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7">
        <f>IFERROR(VLOOKUP(F27,Hoja2!$K$2:$M$1198,2,FALSE),0)</f>
        <v>19142000</v>
      </c>
      <c r="H27" s="17">
        <f>IFERROR(VLOOKUP(F27,Hoja2!$K$2:$M$1198,3,FALSE),0)</f>
        <v>66001000</v>
      </c>
      <c r="I27" s="3" t="s">
        <v>7</v>
      </c>
      <c r="J27" s="3" t="s">
        <v>217</v>
      </c>
      <c r="K27" s="3" t="s">
        <v>219</v>
      </c>
      <c r="L27" s="12">
        <v>619420</v>
      </c>
      <c r="M27" s="11">
        <v>1123550</v>
      </c>
    </row>
    <row r="28" spans="1:13">
      <c r="A28" s="15">
        <v>46235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7">
        <f>IFERROR(VLOOKUP(F28,Hoja2!$K$2:$M$1198,2,FALSE),0)</f>
        <v>76892000</v>
      </c>
      <c r="H28" s="17">
        <f>IFERROR(VLOOKUP(F28,Hoja2!$K$2:$M$1198,3,FALSE),0)</f>
        <v>25799000</v>
      </c>
      <c r="I28" s="3" t="s">
        <v>7</v>
      </c>
      <c r="J28" s="3" t="s">
        <v>217</v>
      </c>
      <c r="K28" s="3" t="s">
        <v>219</v>
      </c>
      <c r="L28" s="12">
        <v>518840</v>
      </c>
      <c r="M28" s="11">
        <v>2018193</v>
      </c>
    </row>
    <row r="29" spans="1:13">
      <c r="A29" s="15">
        <v>46235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7">
        <f>IFERROR(VLOOKUP(F29,Hoja2!$K$2:$M$1198,2,FALSE),0)</f>
        <v>11001000</v>
      </c>
      <c r="H29" s="17">
        <f>IFERROR(VLOOKUP(F29,Hoja2!$K$2:$M$1198,3,FALSE),0)</f>
        <v>15238000</v>
      </c>
      <c r="I29" s="3" t="s">
        <v>7</v>
      </c>
      <c r="J29" s="3" t="s">
        <v>217</v>
      </c>
      <c r="K29" s="3" t="s">
        <v>219</v>
      </c>
      <c r="L29" s="12">
        <v>494976</v>
      </c>
      <c r="M29" s="11">
        <v>1059612</v>
      </c>
    </row>
    <row r="30" spans="1:13">
      <c r="A30" s="15">
        <v>46235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7">
        <f>IFERROR(VLOOKUP(F30,Hoja2!$K$2:$M$1198,2,FALSE),0)</f>
        <v>19142000</v>
      </c>
      <c r="H30" s="17">
        <f>IFERROR(VLOOKUP(F30,Hoja2!$K$2:$M$1198,3,FALSE),0)</f>
        <v>41001000</v>
      </c>
      <c r="I30" s="3" t="s">
        <v>7</v>
      </c>
      <c r="J30" s="3" t="s">
        <v>217</v>
      </c>
      <c r="K30" s="3" t="s">
        <v>219</v>
      </c>
      <c r="L30" s="12">
        <v>616420</v>
      </c>
      <c r="M30" s="11">
        <v>2101057</v>
      </c>
    </row>
    <row r="31" spans="1:13">
      <c r="A31" s="15">
        <v>46235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7">
        <f>IFERROR(VLOOKUP(F31,Hoja2!$K$2:$M$1198,2,FALSE),0)</f>
        <v>11001000</v>
      </c>
      <c r="H31" s="17">
        <f>IFERROR(VLOOKUP(F31,Hoja2!$K$2:$M$1198,3,FALSE),0)</f>
        <v>66170000</v>
      </c>
      <c r="I31" s="3" t="s">
        <v>7</v>
      </c>
      <c r="J31" s="3" t="s">
        <v>217</v>
      </c>
      <c r="K31" s="3" t="s">
        <v>219</v>
      </c>
      <c r="L31" s="12">
        <v>619400</v>
      </c>
      <c r="M31" s="11">
        <v>1672161</v>
      </c>
    </row>
    <row r="32" spans="1:13">
      <c r="A32" s="15">
        <v>46235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7">
        <f>IFERROR(VLOOKUP(F32,Hoja2!$K$2:$M$1198,2,FALSE),0)</f>
        <v>8433000</v>
      </c>
      <c r="H32" s="17">
        <f>IFERROR(VLOOKUP(F32,Hoja2!$K$2:$M$1198,3,FALSE),0)</f>
        <v>5615000</v>
      </c>
      <c r="I32" s="3" t="s">
        <v>7</v>
      </c>
      <c r="J32" s="3" t="s">
        <v>217</v>
      </c>
      <c r="K32" s="3" t="s">
        <v>219</v>
      </c>
      <c r="L32" s="12">
        <v>487525</v>
      </c>
      <c r="M32" s="11">
        <v>3035826</v>
      </c>
    </row>
    <row r="33" spans="1:13">
      <c r="A33" s="15">
        <v>46235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7">
        <f>IFERROR(VLOOKUP(F33,Hoja2!$K$2:$M$1198,2,FALSE),0)</f>
        <v>15238000</v>
      </c>
      <c r="H33" s="17">
        <f>IFERROR(VLOOKUP(F33,Hoja2!$K$2:$M$1198,3,FALSE),0)</f>
        <v>76892000</v>
      </c>
      <c r="I33" s="3" t="s">
        <v>7</v>
      </c>
      <c r="J33" s="3" t="s">
        <v>217</v>
      </c>
      <c r="K33" s="3" t="s">
        <v>219</v>
      </c>
      <c r="L33" s="12">
        <v>493969</v>
      </c>
      <c r="M33" s="11">
        <v>2849506</v>
      </c>
    </row>
    <row r="34" spans="1:13">
      <c r="A34" s="15">
        <v>46235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7">
        <f>IFERROR(VLOOKUP(F34,Hoja2!$K$2:$M$1198,2,FALSE),0)</f>
        <v>68547000</v>
      </c>
      <c r="H34" s="17">
        <f>IFERROR(VLOOKUP(F34,Hoja2!$K$2:$M$1198,3,FALSE),0)</f>
        <v>11001000</v>
      </c>
      <c r="I34" s="3" t="s">
        <v>7</v>
      </c>
      <c r="J34" s="3" t="s">
        <v>217</v>
      </c>
      <c r="K34" s="3" t="s">
        <v>219</v>
      </c>
      <c r="L34" s="12">
        <v>518820</v>
      </c>
      <c r="M34" s="11">
        <v>1904064</v>
      </c>
    </row>
    <row r="35" spans="1:13">
      <c r="A35" s="15">
        <v>46235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7">
        <f>IFERROR(VLOOKUP(F35,Hoja2!$K$2:$M$1198,2,FALSE),0)</f>
        <v>11001000</v>
      </c>
      <c r="H35" s="17">
        <f>IFERROR(VLOOKUP(F35,Hoja2!$K$2:$M$1198,3,FALSE),0)</f>
        <v>68081000</v>
      </c>
      <c r="I35" s="3" t="s">
        <v>7</v>
      </c>
      <c r="J35" s="3" t="s">
        <v>217</v>
      </c>
      <c r="K35" s="3" t="s">
        <v>219</v>
      </c>
      <c r="L35" s="12">
        <v>683014</v>
      </c>
      <c r="M35" s="11">
        <v>1967004</v>
      </c>
    </row>
    <row r="36" spans="1:13">
      <c r="A36" s="15">
        <v>46235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7">
        <f>IFERROR(VLOOKUP(F36,Hoja2!$K$2:$M$1198,2,FALSE),0)</f>
        <v>76892000</v>
      </c>
      <c r="H36" s="17">
        <f>IFERROR(VLOOKUP(F36,Hoja2!$K$2:$M$1198,3,FALSE),0)</f>
        <v>5360000</v>
      </c>
      <c r="I36" s="3" t="s">
        <v>7</v>
      </c>
      <c r="J36" s="3" t="s">
        <v>217</v>
      </c>
      <c r="K36" s="3" t="s">
        <v>219</v>
      </c>
      <c r="L36" s="12">
        <v>518840</v>
      </c>
      <c r="M36" s="11">
        <v>1866661</v>
      </c>
    </row>
    <row r="37" spans="1:13">
      <c r="A37" s="15">
        <v>46235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7">
        <f>IFERROR(VLOOKUP(F37,Hoja2!$K$2:$M$1198,2,FALSE),0)</f>
        <v>76892000</v>
      </c>
      <c r="H37" s="17">
        <f>IFERROR(VLOOKUP(F37,Hoja2!$K$2:$M$1198,3,FALSE),0)</f>
        <v>68001000</v>
      </c>
      <c r="I37" s="3" t="s">
        <v>7</v>
      </c>
      <c r="J37" s="3" t="s">
        <v>217</v>
      </c>
      <c r="K37" s="3" t="s">
        <v>219</v>
      </c>
      <c r="L37" s="12">
        <v>518840</v>
      </c>
      <c r="M37" s="11">
        <v>3193582</v>
      </c>
    </row>
    <row r="38" spans="1:13">
      <c r="A38" s="15">
        <v>46235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7">
        <f>IFERROR(VLOOKUP(F38,Hoja2!$K$2:$M$1198,2,FALSE),0)</f>
        <v>15238000</v>
      </c>
      <c r="H38" s="17">
        <f>IFERROR(VLOOKUP(F38,Hoja2!$K$2:$M$1198,3,FALSE),0)</f>
        <v>68001000</v>
      </c>
      <c r="I38" s="3" t="s">
        <v>7</v>
      </c>
      <c r="J38" s="3" t="s">
        <v>217</v>
      </c>
      <c r="K38" s="3" t="s">
        <v>219</v>
      </c>
      <c r="L38" s="12">
        <v>493969</v>
      </c>
      <c r="M38" s="11">
        <v>1675529</v>
      </c>
    </row>
    <row r="39" spans="1:13">
      <c r="A39" s="15">
        <v>46235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7">
        <f>IFERROR(VLOOKUP(F39,Hoja2!$K$2:$M$1198,2,FALSE),0)</f>
        <v>15238000</v>
      </c>
      <c r="H39" s="17">
        <f>IFERROR(VLOOKUP(F39,Hoja2!$K$2:$M$1198,3,FALSE),0)</f>
        <v>50001000</v>
      </c>
      <c r="I39" s="3" t="s">
        <v>7</v>
      </c>
      <c r="J39" s="3" t="s">
        <v>217</v>
      </c>
      <c r="K39" s="3" t="s">
        <v>219</v>
      </c>
      <c r="L39" s="12">
        <v>521220</v>
      </c>
      <c r="M39" s="11">
        <v>1706818</v>
      </c>
    </row>
    <row r="40" spans="1:13">
      <c r="A40" s="15">
        <v>46235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7">
        <f>IFERROR(VLOOKUP(F40,Hoja2!$K$2:$M$1198,2,FALSE),0)</f>
        <v>76892000</v>
      </c>
      <c r="H40" s="17">
        <f>IFERROR(VLOOKUP(F40,Hoja2!$K$2:$M$1198,3,FALSE),0)</f>
        <v>50001000</v>
      </c>
      <c r="I40" s="3" t="s">
        <v>7</v>
      </c>
      <c r="J40" s="3" t="s">
        <v>217</v>
      </c>
      <c r="K40" s="3" t="s">
        <v>219</v>
      </c>
      <c r="L40" s="12">
        <v>559173</v>
      </c>
      <c r="M40" s="11">
        <v>2583079</v>
      </c>
    </row>
    <row r="41" spans="1:13">
      <c r="A41" s="15">
        <v>46235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7">
        <f>IFERROR(VLOOKUP(F41,Hoja2!$K$2:$M$1198,2,FALSE),0)</f>
        <v>11001000</v>
      </c>
      <c r="H41" s="17">
        <f>IFERROR(VLOOKUP(F41,Hoja2!$K$2:$M$1198,3,FALSE),0)</f>
        <v>5360000</v>
      </c>
      <c r="I41" s="3" t="s">
        <v>7</v>
      </c>
      <c r="J41" s="3" t="s">
        <v>217</v>
      </c>
      <c r="K41" s="3" t="s">
        <v>219</v>
      </c>
      <c r="L41" s="12">
        <v>544667</v>
      </c>
      <c r="M41" s="11">
        <v>1965343</v>
      </c>
    </row>
    <row r="42" spans="1:13">
      <c r="A42" s="15">
        <v>46235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7">
        <f>IFERROR(VLOOKUP(F42,Hoja2!$K$2:$M$1198,2,FALSE),0)</f>
        <v>5088000</v>
      </c>
      <c r="H42" s="17">
        <f>IFERROR(VLOOKUP(F42,Hoja2!$K$2:$M$1198,3,FALSE),0)</f>
        <v>5001000</v>
      </c>
      <c r="I42" s="3" t="s">
        <v>7</v>
      </c>
      <c r="J42" s="3" t="s">
        <v>217</v>
      </c>
      <c r="K42" s="3" t="s">
        <v>219</v>
      </c>
      <c r="L42" s="12">
        <v>643105</v>
      </c>
      <c r="M42" s="11">
        <v>1707356</v>
      </c>
    </row>
    <row r="43" spans="1:13">
      <c r="A43" s="15">
        <v>46235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7">
        <f>IFERROR(VLOOKUP(F43,Hoja2!$K$2:$M$1198,2,FALSE),0)</f>
        <v>11001000</v>
      </c>
      <c r="H43" s="17">
        <f>IFERROR(VLOOKUP(F43,Hoja2!$K$2:$M$1198,3,FALSE),0)</f>
        <v>76892000</v>
      </c>
      <c r="I43" s="3" t="s">
        <v>7</v>
      </c>
      <c r="J43" s="3" t="s">
        <v>217</v>
      </c>
      <c r="K43" s="3" t="s">
        <v>219</v>
      </c>
      <c r="L43" s="12">
        <v>495040</v>
      </c>
      <c r="M43" s="11">
        <v>1981403</v>
      </c>
    </row>
    <row r="44" spans="1:13">
      <c r="A44" s="15">
        <v>46235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7">
        <f>IFERROR(VLOOKUP(F44,Hoja2!$K$2:$M$1198,2,FALSE),0)</f>
        <v>76892000</v>
      </c>
      <c r="H44" s="17">
        <f>IFERROR(VLOOKUP(F44,Hoja2!$K$2:$M$1198,3,FALSE),0)</f>
        <v>41001000</v>
      </c>
      <c r="I44" s="3" t="s">
        <v>7</v>
      </c>
      <c r="J44" s="3" t="s">
        <v>217</v>
      </c>
      <c r="K44" s="3" t="s">
        <v>219</v>
      </c>
      <c r="L44" s="12">
        <v>1092420</v>
      </c>
      <c r="M44" s="11">
        <v>2669831</v>
      </c>
    </row>
    <row r="45" spans="1:13">
      <c r="A45" s="15">
        <v>46235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7">
        <f>IFERROR(VLOOKUP(F45,Hoja2!$K$2:$M$1198,2,FALSE),0)</f>
        <v>19142000</v>
      </c>
      <c r="H45" s="17">
        <f>IFERROR(VLOOKUP(F45,Hoja2!$K$2:$M$1198,3,FALSE),0)</f>
        <v>11001000</v>
      </c>
      <c r="I45" s="3" t="s">
        <v>7</v>
      </c>
      <c r="J45" s="3" t="s">
        <v>217</v>
      </c>
      <c r="K45" s="3" t="s">
        <v>219</v>
      </c>
      <c r="L45" s="12">
        <v>518820</v>
      </c>
      <c r="M45" s="11">
        <v>2047406</v>
      </c>
    </row>
    <row r="46" spans="1:13">
      <c r="A46" s="15">
        <v>46235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7">
        <f>IFERROR(VLOOKUP(F46,Hoja2!$K$2:$M$1198,2,FALSE),0)</f>
        <v>25799000</v>
      </c>
      <c r="H46" s="17">
        <f>IFERROR(VLOOKUP(F46,Hoja2!$K$2:$M$1198,3,FALSE),0)</f>
        <v>76892000</v>
      </c>
      <c r="I46" s="3" t="s">
        <v>7</v>
      </c>
      <c r="J46" s="3" t="s">
        <v>217</v>
      </c>
      <c r="K46" s="3" t="s">
        <v>219</v>
      </c>
      <c r="L46" s="12">
        <v>518840</v>
      </c>
      <c r="M46" s="11">
        <v>2064616</v>
      </c>
    </row>
    <row r="47" spans="1:13">
      <c r="A47" s="15">
        <v>46235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7">
        <f>IFERROR(VLOOKUP(F47,Hoja2!$K$2:$M$1198,2,FALSE),0)</f>
        <v>11001000</v>
      </c>
      <c r="H47" s="17">
        <f>IFERROR(VLOOKUP(F47,Hoja2!$K$2:$M$1198,3,FALSE),0)</f>
        <v>73001000</v>
      </c>
      <c r="I47" s="3" t="s">
        <v>7</v>
      </c>
      <c r="J47" s="3" t="s">
        <v>217</v>
      </c>
      <c r="K47" s="3" t="s">
        <v>219</v>
      </c>
      <c r="L47" s="12">
        <v>518820</v>
      </c>
      <c r="M47" s="11">
        <v>1031863</v>
      </c>
    </row>
    <row r="48" spans="1:13">
      <c r="A48" s="15">
        <v>46235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7">
        <f>IFERROR(VLOOKUP(F48,Hoja2!$K$2:$M$1198,2,FALSE),0)</f>
        <v>15238000</v>
      </c>
      <c r="H48" s="17">
        <f>IFERROR(VLOOKUP(F48,Hoja2!$K$2:$M$1198,3,FALSE),0)</f>
        <v>5001000</v>
      </c>
      <c r="I48" s="3" t="s">
        <v>7</v>
      </c>
      <c r="J48" s="3" t="s">
        <v>217</v>
      </c>
      <c r="K48" s="3" t="s">
        <v>219</v>
      </c>
      <c r="L48" s="12">
        <v>494751</v>
      </c>
      <c r="M48" s="11">
        <v>2695612</v>
      </c>
    </row>
    <row r="49" spans="1:13">
      <c r="A49" s="15">
        <v>46235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7">
        <f>IFERROR(VLOOKUP(F49,Hoja2!$K$2:$M$1198,2,FALSE),0)</f>
        <v>76892000</v>
      </c>
      <c r="H49" s="17">
        <f>IFERROR(VLOOKUP(F49,Hoja2!$K$2:$M$1198,3,FALSE),0)</f>
        <v>52356000</v>
      </c>
      <c r="I49" s="3" t="s">
        <v>7</v>
      </c>
      <c r="J49" s="3" t="s">
        <v>217</v>
      </c>
      <c r="K49" s="3" t="s">
        <v>219</v>
      </c>
      <c r="L49" s="12">
        <v>589092</v>
      </c>
      <c r="M49" s="11">
        <v>2410546</v>
      </c>
    </row>
    <row r="50" spans="1:13">
      <c r="A50" s="15">
        <v>46235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7">
        <f>IFERROR(VLOOKUP(F50,Hoja2!$K$2:$M$1198,2,FALSE),0)</f>
        <v>11001000</v>
      </c>
      <c r="H50" s="17">
        <f>IFERROR(VLOOKUP(F50,Hoja2!$K$2:$M$1198,3,FALSE),0)</f>
        <v>5615000</v>
      </c>
      <c r="I50" s="3" t="s">
        <v>7</v>
      </c>
      <c r="J50" s="3" t="s">
        <v>217</v>
      </c>
      <c r="K50" s="3" t="s">
        <v>219</v>
      </c>
      <c r="L50" s="12">
        <v>487505</v>
      </c>
      <c r="M50" s="11">
        <v>1826833</v>
      </c>
    </row>
    <row r="51" spans="1:13">
      <c r="A51" s="15">
        <v>46235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7">
        <f>IFERROR(VLOOKUP(F51,Hoja2!$K$2:$M$1198,2,FALSE),0)</f>
        <v>11001000</v>
      </c>
      <c r="H51" s="17">
        <f>IFERROR(VLOOKUP(F51,Hoja2!$K$2:$M$1198,3,FALSE),0)</f>
        <v>25612000</v>
      </c>
      <c r="I51" s="3" t="s">
        <v>7</v>
      </c>
      <c r="J51" s="3" t="s">
        <v>217</v>
      </c>
      <c r="K51" s="3" t="s">
        <v>219</v>
      </c>
      <c r="L51" s="12">
        <v>520010</v>
      </c>
      <c r="M51" s="11">
        <v>838000</v>
      </c>
    </row>
    <row r="52" spans="1:13">
      <c r="A52" s="15">
        <v>46235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7">
        <f>IFERROR(VLOOKUP(F52,Hoja2!$K$2:$M$1198,2,FALSE),0)</f>
        <v>8433000</v>
      </c>
      <c r="H52" s="17">
        <f>IFERROR(VLOOKUP(F52,Hoja2!$K$2:$M$1198,3,FALSE),0)</f>
        <v>5172000</v>
      </c>
      <c r="I52" s="3" t="s">
        <v>7</v>
      </c>
      <c r="J52" s="3" t="s">
        <v>217</v>
      </c>
      <c r="K52" s="3" t="s">
        <v>219</v>
      </c>
      <c r="L52" s="12">
        <v>609820</v>
      </c>
      <c r="M52" s="11">
        <v>2569211</v>
      </c>
    </row>
    <row r="53" spans="1:13">
      <c r="A53" s="15">
        <v>46235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7">
        <f>IFERROR(VLOOKUP(F53,Hoja2!$K$2:$M$1198,2,FALSE),0)</f>
        <v>13001000</v>
      </c>
      <c r="H53" s="17">
        <f>IFERROR(VLOOKUP(F53,Hoja2!$K$2:$M$1198,3,FALSE),0)</f>
        <v>11001000</v>
      </c>
      <c r="I53" s="3" t="s">
        <v>7</v>
      </c>
      <c r="J53" s="3" t="s">
        <v>217</v>
      </c>
      <c r="K53" s="3" t="s">
        <v>219</v>
      </c>
      <c r="L53" s="12">
        <v>598823</v>
      </c>
      <c r="M53" s="11">
        <v>4458952</v>
      </c>
    </row>
    <row r="54" spans="1:13">
      <c r="A54" s="15">
        <v>46235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7">
        <f>IFERROR(VLOOKUP(F54,Hoja2!$K$2:$M$1198,2,FALSE),0)</f>
        <v>66001000</v>
      </c>
      <c r="H54" s="17">
        <f>IFERROR(VLOOKUP(F54,Hoja2!$K$2:$M$1198,3,FALSE),0)</f>
        <v>11001000</v>
      </c>
      <c r="I54" s="3" t="s">
        <v>7</v>
      </c>
      <c r="J54" s="3" t="s">
        <v>217</v>
      </c>
      <c r="K54" s="3" t="s">
        <v>219</v>
      </c>
      <c r="L54" s="12">
        <v>619400</v>
      </c>
      <c r="M54" s="11">
        <v>1645023</v>
      </c>
    </row>
    <row r="55" spans="1:13">
      <c r="A55" s="15">
        <v>46235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7">
        <f>IFERROR(VLOOKUP(F55,Hoja2!$K$2:$M$1198,2,FALSE),0)</f>
        <v>76001000</v>
      </c>
      <c r="H55" s="17">
        <f>IFERROR(VLOOKUP(F55,Hoja2!$K$2:$M$1198,3,FALSE),0)</f>
        <v>73001000</v>
      </c>
      <c r="I55" s="3" t="s">
        <v>7</v>
      </c>
      <c r="J55" s="3" t="s">
        <v>217</v>
      </c>
      <c r="K55" s="3" t="s">
        <v>219</v>
      </c>
      <c r="L55" s="12">
        <v>518840</v>
      </c>
      <c r="M55" s="11">
        <v>1607723</v>
      </c>
    </row>
    <row r="56" spans="1:13">
      <c r="A56" s="15">
        <v>46235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7">
        <f>IFERROR(VLOOKUP(F56,Hoja2!$K$2:$M$1198,2,FALSE),0)</f>
        <v>19142000</v>
      </c>
      <c r="H56" s="17">
        <f>IFERROR(VLOOKUP(F56,Hoja2!$K$2:$M$1198,3,FALSE),0)</f>
        <v>68001000</v>
      </c>
      <c r="I56" s="3" t="s">
        <v>7</v>
      </c>
      <c r="J56" s="3" t="s">
        <v>217</v>
      </c>
      <c r="K56" s="3" t="s">
        <v>219</v>
      </c>
      <c r="L56" s="12">
        <v>518840</v>
      </c>
      <c r="M56" s="11">
        <v>3783859</v>
      </c>
    </row>
    <row r="57" spans="1:13">
      <c r="A57" s="15">
        <v>46235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7">
        <f>IFERROR(VLOOKUP(F57,Hoja2!$K$2:$M$1198,2,FALSE),0)</f>
        <v>5088000</v>
      </c>
      <c r="H57" s="17">
        <f>IFERROR(VLOOKUP(F57,Hoja2!$K$2:$M$1198,3,FALSE),0)</f>
        <v>13001000</v>
      </c>
      <c r="I57" s="3" t="s">
        <v>7</v>
      </c>
      <c r="J57" s="3" t="s">
        <v>217</v>
      </c>
      <c r="K57" s="3" t="s">
        <v>219</v>
      </c>
      <c r="L57" s="12">
        <v>598599</v>
      </c>
      <c r="M57" s="11">
        <v>2871789</v>
      </c>
    </row>
    <row r="58" spans="1:13">
      <c r="A58" s="15">
        <v>46235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7">
        <f>IFERROR(VLOOKUP(F58,Hoja2!$K$2:$M$1198,2,FALSE),0)</f>
        <v>76892000</v>
      </c>
      <c r="H58" s="17">
        <f>IFERROR(VLOOKUP(F58,Hoja2!$K$2:$M$1198,3,FALSE),0)</f>
        <v>11001000</v>
      </c>
      <c r="I58" s="3" t="s">
        <v>7</v>
      </c>
      <c r="J58" s="3" t="s">
        <v>217</v>
      </c>
      <c r="K58" s="3" t="s">
        <v>219</v>
      </c>
      <c r="L58" s="12">
        <v>495040</v>
      </c>
      <c r="M58" s="11">
        <v>1997935</v>
      </c>
    </row>
    <row r="59" spans="1:13">
      <c r="A59" s="15">
        <v>46235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7">
        <f>IFERROR(VLOOKUP(F59,Hoja2!$K$2:$M$1198,2,FALSE),0)</f>
        <v>19142000</v>
      </c>
      <c r="H59" s="17">
        <f>IFERROR(VLOOKUP(F59,Hoja2!$K$2:$M$1198,3,FALSE),0)</f>
        <v>5001000</v>
      </c>
      <c r="I59" s="3" t="s">
        <v>7</v>
      </c>
      <c r="J59" s="3" t="s">
        <v>217</v>
      </c>
      <c r="K59" s="3" t="s">
        <v>219</v>
      </c>
      <c r="L59" s="12">
        <v>487525</v>
      </c>
      <c r="M59" s="11">
        <v>2118512</v>
      </c>
    </row>
    <row r="60" spans="1:13">
      <c r="A60" s="15">
        <v>46235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7">
        <f>IFERROR(VLOOKUP(F60,Hoja2!$K$2:$M$1198,2,FALSE),0)</f>
        <v>8433000</v>
      </c>
      <c r="H60" s="17">
        <f>IFERROR(VLOOKUP(F60,Hoja2!$K$2:$M$1198,3,FALSE),0)</f>
        <v>13001000</v>
      </c>
      <c r="I60" s="3" t="s">
        <v>7</v>
      </c>
      <c r="J60" s="3" t="s">
        <v>217</v>
      </c>
      <c r="K60" s="3" t="s">
        <v>219</v>
      </c>
      <c r="L60" s="12">
        <v>574770</v>
      </c>
      <c r="M60" s="11">
        <v>856445</v>
      </c>
    </row>
    <row r="61" spans="1:13">
      <c r="A61" s="15">
        <v>46235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7">
        <f>IFERROR(VLOOKUP(F61,Hoja2!$K$2:$M$1198,2,FALSE),0)</f>
        <v>19142000</v>
      </c>
      <c r="H61" s="17">
        <f>IFERROR(VLOOKUP(F61,Hoja2!$K$2:$M$1198,3,FALSE),0)</f>
        <v>5001000</v>
      </c>
      <c r="I61" s="3" t="s">
        <v>7</v>
      </c>
      <c r="J61" s="3" t="s">
        <v>217</v>
      </c>
      <c r="K61" s="3" t="s">
        <v>219</v>
      </c>
      <c r="L61" s="12">
        <v>518840</v>
      </c>
      <c r="M61" s="11">
        <v>2031237</v>
      </c>
    </row>
    <row r="62" spans="1:13">
      <c r="A62" s="15">
        <v>46235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7">
        <f>IFERROR(VLOOKUP(F62,Hoja2!$K$2:$M$1198,2,FALSE),0)</f>
        <v>8433000</v>
      </c>
      <c r="H62" s="17">
        <f>IFERROR(VLOOKUP(F62,Hoja2!$K$2:$M$1198,3,FALSE),0)</f>
        <v>68081000</v>
      </c>
      <c r="I62" s="3" t="s">
        <v>7</v>
      </c>
      <c r="J62" s="3" t="s">
        <v>217</v>
      </c>
      <c r="K62" s="3" t="s">
        <v>219</v>
      </c>
      <c r="L62" s="12">
        <v>656101</v>
      </c>
      <c r="M62" s="11">
        <v>2773747</v>
      </c>
    </row>
    <row r="63" spans="1:13">
      <c r="A63" s="15">
        <v>46235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7">
        <f>IFERROR(VLOOKUP(F63,Hoja2!$K$2:$M$1198,2,FALSE),0)</f>
        <v>76892000</v>
      </c>
      <c r="H63" s="17">
        <f>IFERROR(VLOOKUP(F63,Hoja2!$K$2:$M$1198,3,FALSE),0)</f>
        <v>18001000</v>
      </c>
      <c r="I63" s="3" t="s">
        <v>7</v>
      </c>
      <c r="J63" s="3" t="s">
        <v>217</v>
      </c>
      <c r="K63" s="3" t="s">
        <v>219</v>
      </c>
      <c r="L63" s="12">
        <v>651138</v>
      </c>
      <c r="M63" s="11">
        <v>2981665</v>
      </c>
    </row>
    <row r="64" spans="1:13">
      <c r="A64" s="15">
        <v>46235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7">
        <f>IFERROR(VLOOKUP(F64,Hoja2!$K$2:$M$1198,2,FALSE),0)</f>
        <v>11001000</v>
      </c>
      <c r="H64" s="17">
        <f>IFERROR(VLOOKUP(F64,Hoja2!$K$2:$M$1198,3,FALSE),0)</f>
        <v>13001000</v>
      </c>
      <c r="I64" s="3" t="s">
        <v>7</v>
      </c>
      <c r="J64" s="3" t="s">
        <v>217</v>
      </c>
      <c r="K64" s="3" t="s">
        <v>219</v>
      </c>
      <c r="L64" s="12">
        <v>598823</v>
      </c>
      <c r="M64" s="11">
        <v>4454137</v>
      </c>
    </row>
    <row r="65" spans="1:13">
      <c r="A65" s="15">
        <v>46235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7">
        <f>IFERROR(VLOOKUP(F65,Hoja2!$K$2:$M$1198,2,FALSE),0)</f>
        <v>8433000</v>
      </c>
      <c r="H65" s="17">
        <f>IFERROR(VLOOKUP(F65,Hoja2!$K$2:$M$1198,3,FALSE),0)</f>
        <v>11001000</v>
      </c>
      <c r="I65" s="3" t="s">
        <v>7</v>
      </c>
      <c r="J65" s="3" t="s">
        <v>217</v>
      </c>
      <c r="K65" s="3" t="s">
        <v>219</v>
      </c>
      <c r="L65" s="12">
        <v>518820</v>
      </c>
      <c r="M65" s="11">
        <v>4301857</v>
      </c>
    </row>
    <row r="66" spans="1:13">
      <c r="A66" s="15">
        <v>46235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7">
        <f>IFERROR(VLOOKUP(F66,Hoja2!$K$2:$M$1198,2,FALSE),0)</f>
        <v>11001000</v>
      </c>
      <c r="H66" s="17">
        <f>IFERROR(VLOOKUP(F66,Hoja2!$K$2:$M$1198,3,FALSE),0)</f>
        <v>68547000</v>
      </c>
      <c r="I66" s="3" t="s">
        <v>7</v>
      </c>
      <c r="J66" s="3" t="s">
        <v>217</v>
      </c>
      <c r="K66" s="3" t="s">
        <v>219</v>
      </c>
      <c r="L66" s="12">
        <v>495040</v>
      </c>
      <c r="M66" s="11">
        <v>1874141</v>
      </c>
    </row>
    <row r="67" spans="1:13">
      <c r="A67" s="15">
        <v>46235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7">
        <f>IFERROR(VLOOKUP(F67,Hoja2!$K$2:$M$1198,2,FALSE),0)</f>
        <v>11001000</v>
      </c>
      <c r="H67" s="17">
        <f>IFERROR(VLOOKUP(F67,Hoja2!$K$2:$M$1198,3,FALSE),0)</f>
        <v>50001000</v>
      </c>
      <c r="I67" s="3" t="s">
        <v>7</v>
      </c>
      <c r="J67" s="3" t="s">
        <v>217</v>
      </c>
      <c r="K67" s="3" t="s">
        <v>219</v>
      </c>
      <c r="L67" s="12">
        <v>618124</v>
      </c>
      <c r="M67" s="11">
        <v>881638</v>
      </c>
    </row>
    <row r="68" spans="1:13">
      <c r="A68" s="15">
        <v>46235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7">
        <f>IFERROR(VLOOKUP(F68,Hoja2!$K$2:$M$1198,2,FALSE),0)</f>
        <v>8433000</v>
      </c>
      <c r="H68" s="17">
        <f>IFERROR(VLOOKUP(F68,Hoja2!$K$2:$M$1198,3,FALSE),0)</f>
        <v>54001000</v>
      </c>
      <c r="I68" s="3" t="s">
        <v>7</v>
      </c>
      <c r="J68" s="3" t="s">
        <v>217</v>
      </c>
      <c r="K68" s="3" t="s">
        <v>219</v>
      </c>
      <c r="L68" s="12">
        <v>518840</v>
      </c>
      <c r="M68" s="11">
        <v>2868377</v>
      </c>
    </row>
    <row r="69" spans="1:13">
      <c r="A69" s="15">
        <v>46235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7">
        <f>IFERROR(VLOOKUP(F69,Hoja2!$K$2:$M$1198,2,FALSE),0)</f>
        <v>5001000</v>
      </c>
      <c r="H69" s="17">
        <f>IFERROR(VLOOKUP(F69,Hoja2!$K$2:$M$1198,3,FALSE),0)</f>
        <v>13001000</v>
      </c>
      <c r="I69" s="3" t="s">
        <v>7</v>
      </c>
      <c r="J69" s="3" t="s">
        <v>217</v>
      </c>
      <c r="K69" s="3" t="s">
        <v>219</v>
      </c>
      <c r="L69" s="12">
        <v>594897</v>
      </c>
      <c r="M69" s="11">
        <v>2894390</v>
      </c>
    </row>
    <row r="70" spans="1:13">
      <c r="A70" s="15">
        <v>46235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7">
        <f>IFERROR(VLOOKUP(F70,Hoja2!$K$2:$M$1198,2,FALSE),0)</f>
        <v>11001000</v>
      </c>
      <c r="H70" s="17">
        <f>IFERROR(VLOOKUP(F70,Hoja2!$K$2:$M$1198,3,FALSE),0)</f>
        <v>8433000</v>
      </c>
      <c r="I70" s="3" t="s">
        <v>7</v>
      </c>
      <c r="J70" s="3" t="s">
        <v>217</v>
      </c>
      <c r="K70" s="3" t="s">
        <v>219</v>
      </c>
      <c r="L70" s="12">
        <v>518820</v>
      </c>
      <c r="M70" s="11">
        <v>4290212</v>
      </c>
    </row>
    <row r="71" spans="1:13">
      <c r="A71" s="15">
        <v>46235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7">
        <f>IFERROR(VLOOKUP(F71,Hoja2!$K$2:$M$1198,2,FALSE),0)</f>
        <v>11001000</v>
      </c>
      <c r="H71" s="17">
        <f>IFERROR(VLOOKUP(F71,Hoja2!$K$2:$M$1198,3,FALSE),0)</f>
        <v>76892000</v>
      </c>
      <c r="I71" s="3" t="s">
        <v>7</v>
      </c>
      <c r="J71" s="3" t="s">
        <v>217</v>
      </c>
      <c r="K71" s="3" t="s">
        <v>219</v>
      </c>
      <c r="L71" s="12">
        <v>518820</v>
      </c>
      <c r="M71" s="11">
        <v>1971262</v>
      </c>
    </row>
    <row r="72" spans="1:13">
      <c r="A72" s="15">
        <v>46235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7">
        <f>IFERROR(VLOOKUP(F72,Hoja2!$K$2:$M$1198,2,FALSE),0)</f>
        <v>11001000</v>
      </c>
      <c r="H72" s="17">
        <f>IFERROR(VLOOKUP(F72,Hoja2!$K$2:$M$1198,3,FALSE),0)</f>
        <v>5001000</v>
      </c>
      <c r="I72" s="3" t="s">
        <v>7</v>
      </c>
      <c r="J72" s="3" t="s">
        <v>217</v>
      </c>
      <c r="K72" s="3" t="s">
        <v>219</v>
      </c>
      <c r="L72" s="12">
        <v>643329</v>
      </c>
      <c r="M72" s="11">
        <v>3011101</v>
      </c>
    </row>
    <row r="73" spans="1:13">
      <c r="A73" s="15">
        <v>46235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7">
        <f>IFERROR(VLOOKUP(F73,Hoja2!$K$2:$M$1198,2,FALSE),0)</f>
        <v>66001000</v>
      </c>
      <c r="H73" s="17">
        <f>IFERROR(VLOOKUP(F73,Hoja2!$K$2:$M$1198,3,FALSE),0)</f>
        <v>5001000</v>
      </c>
      <c r="I73" s="3" t="s">
        <v>7</v>
      </c>
      <c r="J73" s="3" t="s">
        <v>217</v>
      </c>
      <c r="K73" s="3" t="s">
        <v>219</v>
      </c>
      <c r="L73" s="12">
        <v>619420</v>
      </c>
      <c r="M73" s="11">
        <v>1203529</v>
      </c>
    </row>
    <row r="74" spans="1:13">
      <c r="A74" s="15">
        <v>46235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7">
        <f>IFERROR(VLOOKUP(F74,Hoja2!$K$2:$M$1198,2,FALSE),0)</f>
        <v>5001000</v>
      </c>
      <c r="H74" s="17">
        <f>IFERROR(VLOOKUP(F74,Hoja2!$K$2:$M$1198,3,FALSE),0)</f>
        <v>66170000</v>
      </c>
      <c r="I74" s="3" t="s">
        <v>7</v>
      </c>
      <c r="J74" s="3" t="s">
        <v>217</v>
      </c>
      <c r="K74" s="3" t="s">
        <v>219</v>
      </c>
      <c r="L74" s="12">
        <v>619420</v>
      </c>
      <c r="M74" s="11">
        <v>1136202</v>
      </c>
    </row>
    <row r="75" spans="1:13">
      <c r="A75" s="15">
        <v>46235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7">
        <f>IFERROR(VLOOKUP(F75,Hoja2!$K$2:$M$1198,2,FALSE),0)</f>
        <v>5088000</v>
      </c>
      <c r="H75" s="17">
        <f>IFERROR(VLOOKUP(F75,Hoja2!$K$2:$M$1198,3,FALSE),0)</f>
        <v>11001000</v>
      </c>
      <c r="I75" s="3" t="s">
        <v>7</v>
      </c>
      <c r="J75" s="3" t="s">
        <v>217</v>
      </c>
      <c r="K75" s="3" t="s">
        <v>219</v>
      </c>
      <c r="L75" s="12">
        <v>544667</v>
      </c>
      <c r="M75" s="11">
        <v>1934785</v>
      </c>
    </row>
    <row r="76" spans="1:13">
      <c r="A76" s="15">
        <v>46235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7">
        <f>IFERROR(VLOOKUP(F76,Hoja2!$K$2:$M$1198,2,FALSE),0)</f>
        <v>68001000</v>
      </c>
      <c r="H76" s="17">
        <f>IFERROR(VLOOKUP(F76,Hoja2!$K$2:$M$1198,3,FALSE),0)</f>
        <v>15001000</v>
      </c>
      <c r="I76" s="3" t="s">
        <v>7</v>
      </c>
      <c r="J76" s="3" t="s">
        <v>217</v>
      </c>
      <c r="K76" s="3" t="s">
        <v>219</v>
      </c>
      <c r="L76" s="12">
        <v>517650</v>
      </c>
      <c r="M76" s="11">
        <v>1552941</v>
      </c>
    </row>
    <row r="77" spans="1:13">
      <c r="A77" s="15">
        <v>46235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7">
        <f>IFERROR(VLOOKUP(F77,Hoja2!$K$2:$M$1198,2,FALSE),0)</f>
        <v>15238000</v>
      </c>
      <c r="H77" s="17">
        <f>IFERROR(VLOOKUP(F77,Hoja2!$K$2:$M$1198,3,FALSE),0)</f>
        <v>11001000</v>
      </c>
      <c r="I77" s="3" t="s">
        <v>7</v>
      </c>
      <c r="J77" s="3" t="s">
        <v>217</v>
      </c>
      <c r="K77" s="3" t="s">
        <v>219</v>
      </c>
      <c r="L77" s="12">
        <v>494976</v>
      </c>
      <c r="M77" s="11">
        <v>1108026</v>
      </c>
    </row>
    <row r="78" spans="1:13">
      <c r="A78" s="15">
        <v>46235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7">
        <f>IFERROR(VLOOKUP(F78,Hoja2!$K$2:$M$1198,2,FALSE),0)</f>
        <v>11001000</v>
      </c>
      <c r="H78" s="17">
        <f>IFERROR(VLOOKUP(F78,Hoja2!$K$2:$M$1198,3,FALSE),0)</f>
        <v>76364000</v>
      </c>
      <c r="I78" s="3" t="s">
        <v>7</v>
      </c>
      <c r="J78" s="3" t="s">
        <v>217</v>
      </c>
      <c r="K78" s="3" t="s">
        <v>219</v>
      </c>
      <c r="L78" s="12">
        <v>572398</v>
      </c>
      <c r="M78" s="11">
        <v>2382005</v>
      </c>
    </row>
    <row r="79" spans="1:13">
      <c r="A79" s="15">
        <v>46235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7">
        <f>IFERROR(VLOOKUP(F79,Hoja2!$K$2:$M$1198,2,FALSE),0)</f>
        <v>76001000</v>
      </c>
      <c r="H79" s="17">
        <f>IFERROR(VLOOKUP(F79,Hoja2!$K$2:$M$1198,3,FALSE),0)</f>
        <v>73001000</v>
      </c>
      <c r="I79" s="3" t="s">
        <v>7</v>
      </c>
      <c r="J79" s="3" t="s">
        <v>217</v>
      </c>
      <c r="K79" s="3" t="s">
        <v>219</v>
      </c>
      <c r="L79" s="12">
        <v>520030</v>
      </c>
      <c r="M79" s="11">
        <v>1837216</v>
      </c>
    </row>
    <row r="80" spans="1:13">
      <c r="A80" s="15">
        <v>46235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7">
        <f>IFERROR(VLOOKUP(F80,Hoja2!$K$2:$M$1198,2,FALSE),0)</f>
        <v>5001000</v>
      </c>
      <c r="H80" s="17">
        <f>IFERROR(VLOOKUP(F80,Hoja2!$K$2:$M$1198,3,FALSE),0)</f>
        <v>68547000</v>
      </c>
      <c r="I80" s="3" t="s">
        <v>7</v>
      </c>
      <c r="J80" s="3" t="s">
        <v>217</v>
      </c>
      <c r="K80" s="3" t="s">
        <v>219</v>
      </c>
      <c r="L80" s="12">
        <v>518840</v>
      </c>
      <c r="M80" s="11">
        <v>1948927</v>
      </c>
    </row>
    <row r="81" spans="1:13">
      <c r="A81" s="15">
        <v>46235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7">
        <f>IFERROR(VLOOKUP(F81,Hoja2!$K$2:$M$1198,2,FALSE),0)</f>
        <v>76892000</v>
      </c>
      <c r="H81" s="17">
        <f>IFERROR(VLOOKUP(F81,Hoja2!$K$2:$M$1198,3,FALSE),0)</f>
        <v>52835000</v>
      </c>
      <c r="I81" s="3" t="s">
        <v>7</v>
      </c>
      <c r="J81" s="3" t="s">
        <v>217</v>
      </c>
      <c r="K81" s="3" t="s">
        <v>219</v>
      </c>
      <c r="L81" s="12">
        <v>632092</v>
      </c>
      <c r="M81" s="11">
        <v>3005417</v>
      </c>
    </row>
    <row r="82" spans="1:13">
      <c r="A82" s="15">
        <v>46235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7">
        <f>IFERROR(VLOOKUP(F82,Hoja2!$K$2:$M$1198,2,FALSE),0)</f>
        <v>76892000</v>
      </c>
      <c r="H82" s="17">
        <f>IFERROR(VLOOKUP(F82,Hoja2!$K$2:$M$1198,3,FALSE),0)</f>
        <v>8433000</v>
      </c>
      <c r="I82" s="3" t="s">
        <v>7</v>
      </c>
      <c r="J82" s="3" t="s">
        <v>217</v>
      </c>
      <c r="K82" s="3" t="s">
        <v>219</v>
      </c>
      <c r="L82" s="12">
        <v>518840</v>
      </c>
      <c r="M82" s="11">
        <v>4577228</v>
      </c>
    </row>
    <row r="83" spans="1:13">
      <c r="A83" s="15">
        <v>46235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7">
        <f>IFERROR(VLOOKUP(F83,Hoja2!$K$2:$M$1198,2,FALSE),0)</f>
        <v>19142000</v>
      </c>
      <c r="H83" s="17">
        <f>IFERROR(VLOOKUP(F83,Hoja2!$K$2:$M$1198,3,FALSE),0)</f>
        <v>8433000</v>
      </c>
      <c r="I83" s="3" t="s">
        <v>7</v>
      </c>
      <c r="J83" s="3" t="s">
        <v>217</v>
      </c>
      <c r="K83" s="3" t="s">
        <v>219</v>
      </c>
      <c r="L83" s="12">
        <v>518840</v>
      </c>
      <c r="M83" s="11">
        <v>5169295</v>
      </c>
    </row>
    <row r="84" spans="1:13">
      <c r="A84" s="15">
        <v>46235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7">
        <f>IFERROR(VLOOKUP(F84,Hoja2!$K$2:$M$1198,2,FALSE),0)</f>
        <v>11001000</v>
      </c>
      <c r="H84" s="17">
        <f>IFERROR(VLOOKUP(F84,Hoja2!$K$2:$M$1198,3,FALSE),0)</f>
        <v>5088000</v>
      </c>
      <c r="I84" s="3" t="s">
        <v>7</v>
      </c>
      <c r="J84" s="3" t="s">
        <v>217</v>
      </c>
      <c r="K84" s="3" t="s">
        <v>219</v>
      </c>
      <c r="L84" s="12">
        <v>544667</v>
      </c>
      <c r="M84" s="11">
        <v>1933987</v>
      </c>
    </row>
    <row r="85" spans="1:13">
      <c r="A85" s="15">
        <v>46235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7">
        <f>IFERROR(VLOOKUP(F85,Hoja2!$K$2:$M$1198,2,FALSE),0)</f>
        <v>76892000</v>
      </c>
      <c r="H85" s="17">
        <f>IFERROR(VLOOKUP(F85,Hoja2!$K$2:$M$1198,3,FALSE),0)</f>
        <v>5088000</v>
      </c>
      <c r="I85" s="3" t="s">
        <v>7</v>
      </c>
      <c r="J85" s="3" t="s">
        <v>217</v>
      </c>
      <c r="K85" s="3" t="s">
        <v>219</v>
      </c>
      <c r="L85" s="12">
        <v>518840</v>
      </c>
      <c r="M85" s="11">
        <v>1909051</v>
      </c>
    </row>
    <row r="86" spans="1:13">
      <c r="A86" s="15">
        <v>46235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7">
        <f>IFERROR(VLOOKUP(F86,Hoja2!$K$2:$M$1198,2,FALSE),0)</f>
        <v>19142000</v>
      </c>
      <c r="H86" s="17">
        <f>IFERROR(VLOOKUP(F86,Hoja2!$K$2:$M$1198,3,FALSE),0)</f>
        <v>11001000</v>
      </c>
      <c r="I86" s="3" t="s">
        <v>7</v>
      </c>
      <c r="J86" s="3" t="s">
        <v>217</v>
      </c>
      <c r="K86" s="3" t="s">
        <v>219</v>
      </c>
      <c r="L86" s="12">
        <v>518820</v>
      </c>
      <c r="M86" s="11">
        <v>2029396</v>
      </c>
    </row>
    <row r="87" spans="1:13">
      <c r="A87" s="15">
        <v>46235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7">
        <f>IFERROR(VLOOKUP(F87,Hoja2!$K$2:$M$1198,2,FALSE),0)</f>
        <v>76892000</v>
      </c>
      <c r="H87" s="17">
        <f>IFERROR(VLOOKUP(F87,Hoja2!$K$2:$M$1198,3,FALSE),0)</f>
        <v>54001000</v>
      </c>
      <c r="I87" s="3" t="s">
        <v>7</v>
      </c>
      <c r="J87" s="3" t="s">
        <v>217</v>
      </c>
      <c r="K87" s="3" t="s">
        <v>219</v>
      </c>
      <c r="L87" s="12">
        <v>518840</v>
      </c>
      <c r="M87" s="11">
        <v>4312430</v>
      </c>
    </row>
    <row r="88" spans="1:13">
      <c r="A88" s="15">
        <v>46235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7">
        <f>IFERROR(VLOOKUP(F88,Hoja2!$K$2:$M$1198,2,FALSE),0)</f>
        <v>15238000</v>
      </c>
      <c r="H88" s="17">
        <f>IFERROR(VLOOKUP(F88,Hoja2!$K$2:$M$1198,3,FALSE),0)</f>
        <v>41001000</v>
      </c>
      <c r="I88" s="3" t="s">
        <v>7</v>
      </c>
      <c r="J88" s="3" t="s">
        <v>217</v>
      </c>
      <c r="K88" s="3" t="s">
        <v>219</v>
      </c>
      <c r="L88" s="12">
        <v>591549</v>
      </c>
      <c r="M88" s="11">
        <v>2502898</v>
      </c>
    </row>
    <row r="89" spans="1:13">
      <c r="A89" s="15">
        <v>46235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7">
        <f>IFERROR(VLOOKUP(F89,Hoja2!$K$2:$M$1198,2,FALSE),0)</f>
        <v>13001000</v>
      </c>
      <c r="H89" s="17">
        <f>IFERROR(VLOOKUP(F89,Hoja2!$K$2:$M$1198,3,FALSE),0)</f>
        <v>5088000</v>
      </c>
      <c r="I89" s="3" t="s">
        <v>7</v>
      </c>
      <c r="J89" s="3" t="s">
        <v>217</v>
      </c>
      <c r="K89" s="3" t="s">
        <v>219</v>
      </c>
      <c r="L89" s="12">
        <v>598599</v>
      </c>
      <c r="M89" s="11">
        <v>2876934</v>
      </c>
    </row>
    <row r="90" spans="1:13">
      <c r="A90" s="15">
        <v>46235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7">
        <f>IFERROR(VLOOKUP(F90,Hoja2!$K$2:$M$1198,2,FALSE),0)</f>
        <v>76892000</v>
      </c>
      <c r="H90" s="17">
        <f>IFERROR(VLOOKUP(F90,Hoja2!$K$2:$M$1198,3,FALSE),0)</f>
        <v>25430000</v>
      </c>
      <c r="I90" s="3" t="s">
        <v>7</v>
      </c>
      <c r="J90" s="3" t="s">
        <v>217</v>
      </c>
      <c r="K90" s="3" t="s">
        <v>219</v>
      </c>
      <c r="L90" s="12">
        <v>518840</v>
      </c>
      <c r="M90" s="11">
        <v>2006166</v>
      </c>
    </row>
    <row r="91" spans="1:13">
      <c r="A91" s="15">
        <v>46235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7">
        <f>IFERROR(VLOOKUP(F91,Hoja2!$K$2:$M$1198,2,FALSE),0)</f>
        <v>50001000</v>
      </c>
      <c r="H91" s="17">
        <f>IFERROR(VLOOKUP(F91,Hoja2!$K$2:$M$1198,3,FALSE),0)</f>
        <v>11001000</v>
      </c>
      <c r="I91" s="3" t="s">
        <v>7</v>
      </c>
      <c r="J91" s="3" t="s">
        <v>217</v>
      </c>
      <c r="K91" s="3" t="s">
        <v>219</v>
      </c>
      <c r="L91" s="12">
        <v>618124</v>
      </c>
      <c r="M91" s="11">
        <v>870789</v>
      </c>
    </row>
    <row r="92" spans="1:13">
      <c r="A92" s="15">
        <v>46235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7">
        <f>IFERROR(VLOOKUP(F92,Hoja2!$K$2:$M$1198,2,FALSE),0)</f>
        <v>8433000</v>
      </c>
      <c r="H92" s="17">
        <f>IFERROR(VLOOKUP(F92,Hoja2!$K$2:$M$1198,3,FALSE),0)</f>
        <v>20011000</v>
      </c>
      <c r="I92" s="3" t="s">
        <v>7</v>
      </c>
      <c r="J92" s="3" t="s">
        <v>217</v>
      </c>
      <c r="K92" s="3" t="s">
        <v>219</v>
      </c>
      <c r="L92" s="12">
        <v>1177321</v>
      </c>
      <c r="M92" s="11">
        <v>1937916</v>
      </c>
    </row>
    <row r="93" spans="1:13">
      <c r="A93" s="15">
        <v>46235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7">
        <f>IFERROR(VLOOKUP(F93,Hoja2!$K$2:$M$1198,2,FALSE),0)</f>
        <v>11001000</v>
      </c>
      <c r="H93" s="17">
        <f>IFERROR(VLOOKUP(F93,Hoja2!$K$2:$M$1198,3,FALSE),0)</f>
        <v>15001000</v>
      </c>
      <c r="I93" s="3" t="s">
        <v>7</v>
      </c>
      <c r="J93" s="3" t="s">
        <v>217</v>
      </c>
      <c r="K93" s="3" t="s">
        <v>219</v>
      </c>
      <c r="L93" s="12">
        <v>517630</v>
      </c>
      <c r="M93" s="11">
        <v>909746</v>
      </c>
    </row>
    <row r="94" spans="1:13">
      <c r="A94" s="15">
        <v>46235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7">
        <f>IFERROR(VLOOKUP(F94,Hoja2!$K$2:$M$1198,2,FALSE),0)</f>
        <v>8433000</v>
      </c>
      <c r="H94" s="17">
        <f>IFERROR(VLOOKUP(F94,Hoja2!$K$2:$M$1198,3,FALSE),0)</f>
        <v>20001000</v>
      </c>
      <c r="I94" s="3" t="s">
        <v>7</v>
      </c>
      <c r="J94" s="3" t="s">
        <v>217</v>
      </c>
      <c r="K94" s="3" t="s">
        <v>219</v>
      </c>
      <c r="L94" s="12">
        <v>546876</v>
      </c>
      <c r="M94" s="11">
        <v>1587086</v>
      </c>
    </row>
    <row r="95" spans="1:13">
      <c r="A95" s="15">
        <v>46235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7">
        <f>IFERROR(VLOOKUP(F95,Hoja2!$K$2:$M$1198,2,FALSE),0)</f>
        <v>11001000</v>
      </c>
      <c r="H95" s="17">
        <f>IFERROR(VLOOKUP(F95,Hoja2!$K$2:$M$1198,3,FALSE),0)</f>
        <v>50313000</v>
      </c>
      <c r="I95" s="3" t="s">
        <v>7</v>
      </c>
      <c r="J95" s="3" t="s">
        <v>217</v>
      </c>
      <c r="K95" s="3" t="s">
        <v>219</v>
      </c>
      <c r="L95" s="12">
        <v>546071</v>
      </c>
      <c r="M95" s="11">
        <v>1084560</v>
      </c>
    </row>
    <row r="96" spans="1:13">
      <c r="A96" s="15">
        <v>46235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7">
        <f>IFERROR(VLOOKUP(F96,Hoja2!$K$2:$M$1198,2,FALSE),0)</f>
        <v>13001000</v>
      </c>
      <c r="H96" s="17">
        <f>IFERROR(VLOOKUP(F96,Hoja2!$K$2:$M$1198,3,FALSE),0)</f>
        <v>8433000</v>
      </c>
      <c r="I96" s="3" t="s">
        <v>7</v>
      </c>
      <c r="J96" s="3" t="s">
        <v>217</v>
      </c>
      <c r="K96" s="3" t="s">
        <v>219</v>
      </c>
      <c r="L96" s="12">
        <v>574770</v>
      </c>
      <c r="M96" s="11">
        <v>854959</v>
      </c>
    </row>
    <row r="97" spans="1:13">
      <c r="A97" s="15">
        <v>46235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7">
        <f>IFERROR(VLOOKUP(F97,Hoja2!$K$2:$M$1198,2,FALSE),0)</f>
        <v>11001000</v>
      </c>
      <c r="H97" s="17">
        <f>IFERROR(VLOOKUP(F97,Hoja2!$K$2:$M$1198,3,FALSE),0)</f>
        <v>25799000</v>
      </c>
      <c r="I97" s="3" t="s">
        <v>7</v>
      </c>
      <c r="J97" s="3" t="s">
        <v>217</v>
      </c>
      <c r="K97" s="3" t="s">
        <v>219</v>
      </c>
      <c r="L97" s="12">
        <v>518820</v>
      </c>
      <c r="M97" s="11">
        <v>602895</v>
      </c>
    </row>
    <row r="98" spans="1:13">
      <c r="A98" s="15">
        <v>46235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7">
        <f>IFERROR(VLOOKUP(F98,Hoja2!$K$2:$M$1198,2,FALSE),0)</f>
        <v>15238000</v>
      </c>
      <c r="H98" s="17">
        <f>IFERROR(VLOOKUP(F98,Hoja2!$K$2:$M$1198,3,FALSE),0)</f>
        <v>5001000</v>
      </c>
      <c r="I98" s="3" t="s">
        <v>7</v>
      </c>
      <c r="J98" s="3" t="s">
        <v>217</v>
      </c>
      <c r="K98" s="3" t="s">
        <v>219</v>
      </c>
      <c r="L98" s="12">
        <v>494751</v>
      </c>
      <c r="M98" s="11">
        <v>2449450</v>
      </c>
    </row>
    <row r="99" spans="1:13">
      <c r="A99" s="15">
        <v>46235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7">
        <f>IFERROR(VLOOKUP(F99,Hoja2!$K$2:$M$1198,2,FALSE),0)</f>
        <v>25799000</v>
      </c>
      <c r="H99" s="17">
        <f>IFERROR(VLOOKUP(F99,Hoja2!$K$2:$M$1198,3,FALSE),0)</f>
        <v>8433000</v>
      </c>
      <c r="I99" s="3" t="s">
        <v>7</v>
      </c>
      <c r="J99" s="3" t="s">
        <v>217</v>
      </c>
      <c r="K99" s="3" t="s">
        <v>219</v>
      </c>
      <c r="L99" s="12">
        <v>518840</v>
      </c>
      <c r="M99" s="11">
        <v>4276921</v>
      </c>
    </row>
    <row r="100" spans="1:13">
      <c r="A100" s="15">
        <v>46235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7">
        <f>IFERROR(VLOOKUP(F100,Hoja2!$K$2:$M$1198,2,FALSE),0)</f>
        <v>19142000</v>
      </c>
      <c r="H100" s="17">
        <f>IFERROR(VLOOKUP(F100,Hoja2!$K$2:$M$1198,3,FALSE),0)</f>
        <v>52001000</v>
      </c>
      <c r="I100" s="3" t="s">
        <v>7</v>
      </c>
      <c r="J100" s="3" t="s">
        <v>217</v>
      </c>
      <c r="K100" s="3" t="s">
        <v>219</v>
      </c>
      <c r="L100" s="12">
        <v>632092</v>
      </c>
      <c r="M100" s="11">
        <v>1772366</v>
      </c>
    </row>
    <row r="101" spans="1:13">
      <c r="A101" s="15">
        <v>46235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7">
        <f>IFERROR(VLOOKUP(F101,Hoja2!$K$2:$M$1198,2,FALSE),0)</f>
        <v>25799000</v>
      </c>
      <c r="H101" s="17">
        <f>IFERROR(VLOOKUP(F101,Hoja2!$K$2:$M$1198,3,FALSE),0)</f>
        <v>13001000</v>
      </c>
      <c r="I101" s="3" t="s">
        <v>7</v>
      </c>
      <c r="J101" s="3" t="s">
        <v>217</v>
      </c>
      <c r="K101" s="3" t="s">
        <v>219</v>
      </c>
      <c r="L101" s="12">
        <v>574770</v>
      </c>
      <c r="M101" s="11">
        <v>4081714</v>
      </c>
    </row>
    <row r="102" spans="1:13">
      <c r="A102" s="15">
        <v>46235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7">
        <f>IFERROR(VLOOKUP(F102,Hoja2!$K$2:$M$1198,2,FALSE),0)</f>
        <v>19142000</v>
      </c>
      <c r="H102" s="17">
        <f>IFERROR(VLOOKUP(F102,Hoja2!$K$2:$M$1198,3,FALSE),0)</f>
        <v>41001000</v>
      </c>
      <c r="I102" s="3" t="s">
        <v>7</v>
      </c>
      <c r="J102" s="3" t="s">
        <v>217</v>
      </c>
      <c r="K102" s="3" t="s">
        <v>219</v>
      </c>
      <c r="L102" s="12">
        <v>651138</v>
      </c>
      <c r="M102" s="11">
        <v>3053979</v>
      </c>
    </row>
    <row r="103" spans="1:13">
      <c r="A103" s="15">
        <v>46235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7">
        <f>IFERROR(VLOOKUP(F103,Hoja2!$K$2:$M$1198,2,FALSE),0)</f>
        <v>11001000</v>
      </c>
      <c r="H103" s="17">
        <f>IFERROR(VLOOKUP(F103,Hoja2!$K$2:$M$1198,3,FALSE),0)</f>
        <v>13001000</v>
      </c>
      <c r="I103" s="3" t="s">
        <v>7</v>
      </c>
      <c r="J103" s="3" t="s">
        <v>217</v>
      </c>
      <c r="K103" s="3" t="s">
        <v>219</v>
      </c>
      <c r="L103" s="12">
        <v>598823</v>
      </c>
      <c r="M103" s="11">
        <v>4458952</v>
      </c>
    </row>
    <row r="104" spans="1:13">
      <c r="A104" s="15">
        <v>46235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7">
        <f>IFERROR(VLOOKUP(F104,Hoja2!$K$2:$M$1198,2,FALSE),0)</f>
        <v>15238000</v>
      </c>
      <c r="H104" s="17">
        <f>IFERROR(VLOOKUP(F104,Hoja2!$K$2:$M$1198,3,FALSE),0)</f>
        <v>8433000</v>
      </c>
      <c r="I104" s="3" t="s">
        <v>7</v>
      </c>
      <c r="J104" s="3" t="s">
        <v>217</v>
      </c>
      <c r="K104" s="3" t="s">
        <v>219</v>
      </c>
      <c r="L104" s="12">
        <v>493969</v>
      </c>
      <c r="M104" s="11">
        <v>4079929</v>
      </c>
    </row>
    <row r="105" spans="1:13">
      <c r="A105" s="15">
        <v>46235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7">
        <f>IFERROR(VLOOKUP(F105,Hoja2!$K$2:$M$1198,2,FALSE),0)</f>
        <v>11001000</v>
      </c>
      <c r="H105" s="17">
        <f>IFERROR(VLOOKUP(F105,Hoja2!$K$2:$M$1198,3,FALSE),0)</f>
        <v>41001000</v>
      </c>
      <c r="I105" s="3" t="s">
        <v>7</v>
      </c>
      <c r="J105" s="3" t="s">
        <v>217</v>
      </c>
      <c r="K105" s="3" t="s">
        <v>219</v>
      </c>
      <c r="L105" s="12">
        <v>592620</v>
      </c>
      <c r="M105" s="11">
        <v>1642239</v>
      </c>
    </row>
    <row r="106" spans="1:13">
      <c r="A106" s="15">
        <v>46235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7">
        <f>IFERROR(VLOOKUP(F106,Hoja2!$K$2:$M$1198,2,FALSE),0)</f>
        <v>68547000</v>
      </c>
      <c r="H106" s="17">
        <f>IFERROR(VLOOKUP(F106,Hoja2!$K$2:$M$1198,3,FALSE),0)</f>
        <v>8433000</v>
      </c>
      <c r="I106" s="3" t="s">
        <v>7</v>
      </c>
      <c r="J106" s="3" t="s">
        <v>217</v>
      </c>
      <c r="K106" s="3" t="s">
        <v>219</v>
      </c>
      <c r="L106" s="12">
        <v>518840</v>
      </c>
      <c r="M106" s="11">
        <v>2784830</v>
      </c>
    </row>
    <row r="107" spans="1:13">
      <c r="A107" s="15">
        <v>46235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7">
        <f>IFERROR(VLOOKUP(F107,Hoja2!$K$2:$M$1198,2,FALSE),0)</f>
        <v>25799000</v>
      </c>
      <c r="H107" s="17">
        <f>IFERROR(VLOOKUP(F107,Hoja2!$K$2:$M$1198,3,FALSE),0)</f>
        <v>5001000</v>
      </c>
      <c r="I107" s="3" t="s">
        <v>7</v>
      </c>
      <c r="J107" s="3" t="s">
        <v>217</v>
      </c>
      <c r="K107" s="3" t="s">
        <v>219</v>
      </c>
      <c r="L107" s="12">
        <v>518840</v>
      </c>
      <c r="M107" s="11">
        <v>1877256</v>
      </c>
    </row>
    <row r="108" spans="1:13">
      <c r="A108" s="15">
        <v>46235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7">
        <f>IFERROR(VLOOKUP(F108,Hoja2!$K$2:$M$1198,2,FALSE),0)</f>
        <v>11001000</v>
      </c>
      <c r="H108" s="17">
        <f>IFERROR(VLOOKUP(F108,Hoja2!$K$2:$M$1198,3,FALSE),0)</f>
        <v>23001000</v>
      </c>
      <c r="I108" s="3" t="s">
        <v>7</v>
      </c>
      <c r="J108" s="3" t="s">
        <v>217</v>
      </c>
      <c r="K108" s="3" t="s">
        <v>219</v>
      </c>
      <c r="L108" s="12">
        <v>534290</v>
      </c>
      <c r="M108" s="11">
        <v>3811844</v>
      </c>
    </row>
    <row r="109" spans="1:13">
      <c r="A109" s="15">
        <v>46235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7">
        <f>IFERROR(VLOOKUP(F109,Hoja2!$K$2:$M$1198,2,FALSE),0)</f>
        <v>15238000</v>
      </c>
      <c r="H109" s="17">
        <f>IFERROR(VLOOKUP(F109,Hoja2!$K$2:$M$1198,3,FALSE),0)</f>
        <v>5001000</v>
      </c>
      <c r="I109" s="3" t="s">
        <v>7</v>
      </c>
      <c r="J109" s="3" t="s">
        <v>217</v>
      </c>
      <c r="K109" s="3" t="s">
        <v>219</v>
      </c>
      <c r="L109" s="12">
        <v>494751</v>
      </c>
      <c r="M109" s="11">
        <v>2728028</v>
      </c>
    </row>
    <row r="110" spans="1:13">
      <c r="A110" s="15">
        <v>46235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7">
        <f>IFERROR(VLOOKUP(F110,Hoja2!$K$2:$M$1198,2,FALSE),0)</f>
        <v>66001000</v>
      </c>
      <c r="H110" s="17">
        <f>IFERROR(VLOOKUP(F110,Hoja2!$K$2:$M$1198,3,FALSE),0)</f>
        <v>5001000</v>
      </c>
      <c r="I110" s="3" t="s">
        <v>7</v>
      </c>
      <c r="J110" s="3" t="s">
        <v>217</v>
      </c>
      <c r="K110" s="3" t="s">
        <v>219</v>
      </c>
      <c r="L110" s="12">
        <v>619420</v>
      </c>
      <c r="M110" s="11">
        <v>1163632</v>
      </c>
    </row>
    <row r="111" spans="1:13">
      <c r="A111" s="15">
        <v>46235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7">
        <f>IFERROR(VLOOKUP(F111,Hoja2!$K$2:$M$1198,2,FALSE),0)</f>
        <v>76892000</v>
      </c>
      <c r="H111" s="17">
        <f>IFERROR(VLOOKUP(F111,Hoja2!$K$2:$M$1198,3,FALSE),0)</f>
        <v>5615000</v>
      </c>
      <c r="I111" s="3" t="s">
        <v>7</v>
      </c>
      <c r="J111" s="3" t="s">
        <v>217</v>
      </c>
      <c r="K111" s="3" t="s">
        <v>219</v>
      </c>
      <c r="L111" s="12">
        <v>487525</v>
      </c>
      <c r="M111" s="11">
        <v>2028743</v>
      </c>
    </row>
    <row r="112" spans="1:13">
      <c r="A112" s="15">
        <v>46235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7">
        <f>IFERROR(VLOOKUP(F112,Hoja2!$K$2:$M$1198,2,FALSE),0)</f>
        <v>25799000</v>
      </c>
      <c r="H112" s="17">
        <f>IFERROR(VLOOKUP(F112,Hoja2!$K$2:$M$1198,3,FALSE),0)</f>
        <v>73001000</v>
      </c>
      <c r="I112" s="3" t="s">
        <v>7</v>
      </c>
      <c r="J112" s="3" t="s">
        <v>217</v>
      </c>
      <c r="K112" s="3" t="s">
        <v>219</v>
      </c>
      <c r="L112" s="12">
        <v>518840</v>
      </c>
      <c r="M112" s="11">
        <v>1078477</v>
      </c>
    </row>
    <row r="113" spans="1:13">
      <c r="A113" s="15">
        <v>46235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7">
        <f>IFERROR(VLOOKUP(F113,Hoja2!$K$2:$M$1198,2,FALSE),0)</f>
        <v>11001000</v>
      </c>
      <c r="H113" s="17">
        <f>IFERROR(VLOOKUP(F113,Hoja2!$K$2:$M$1198,3,FALSE),0)</f>
        <v>5088000</v>
      </c>
      <c r="I113" s="3" t="s">
        <v>7</v>
      </c>
      <c r="J113" s="3" t="s">
        <v>217</v>
      </c>
      <c r="K113" s="3" t="s">
        <v>219</v>
      </c>
      <c r="L113" s="12">
        <v>544667</v>
      </c>
      <c r="M113" s="11">
        <v>1926534</v>
      </c>
    </row>
    <row r="114" spans="1:13">
      <c r="A114" s="15">
        <v>46235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7">
        <f>IFERROR(VLOOKUP(F114,Hoja2!$K$2:$M$1198,2,FALSE),0)</f>
        <v>11001000</v>
      </c>
      <c r="H114" s="17">
        <f>IFERROR(VLOOKUP(F114,Hoja2!$K$2:$M$1198,3,FALSE),0)</f>
        <v>76111000</v>
      </c>
      <c r="I114" s="3" t="s">
        <v>7</v>
      </c>
      <c r="J114" s="3" t="s">
        <v>217</v>
      </c>
      <c r="K114" s="3" t="s">
        <v>219</v>
      </c>
      <c r="L114" s="12">
        <v>694119</v>
      </c>
      <c r="M114" s="11">
        <v>1875030</v>
      </c>
    </row>
    <row r="115" spans="1:13">
      <c r="A115" s="15">
        <v>46235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7">
        <f>IFERROR(VLOOKUP(F115,Hoja2!$K$2:$M$1198,2,FALSE),0)</f>
        <v>11001000</v>
      </c>
      <c r="H115" s="17">
        <f>IFERROR(VLOOKUP(F115,Hoja2!$K$2:$M$1198,3,FALSE),0)</f>
        <v>41001000</v>
      </c>
      <c r="I115" s="3" t="s">
        <v>7</v>
      </c>
      <c r="J115" s="3" t="s">
        <v>217</v>
      </c>
      <c r="K115" s="3" t="s">
        <v>219</v>
      </c>
      <c r="L115" s="12">
        <v>616400</v>
      </c>
      <c r="M115" s="11">
        <v>1625681</v>
      </c>
    </row>
    <row r="116" spans="1:13">
      <c r="A116" s="15">
        <v>46235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7">
        <f>IFERROR(VLOOKUP(F116,Hoja2!$K$2:$M$1198,2,FALSE),0)</f>
        <v>15238000</v>
      </c>
      <c r="H116" s="17">
        <f>IFERROR(VLOOKUP(F116,Hoja2!$K$2:$M$1198,3,FALSE),0)</f>
        <v>23001000</v>
      </c>
      <c r="I116" s="3" t="s">
        <v>7</v>
      </c>
      <c r="J116" s="3" t="s">
        <v>217</v>
      </c>
      <c r="K116" s="3" t="s">
        <v>219</v>
      </c>
      <c r="L116" s="12">
        <v>509439</v>
      </c>
      <c r="M116" s="11">
        <v>4271934</v>
      </c>
    </row>
    <row r="117" spans="1:13">
      <c r="A117" s="15">
        <v>46235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7">
        <f>IFERROR(VLOOKUP(F117,Hoja2!$K$2:$M$1198,2,FALSE),0)</f>
        <v>19142000</v>
      </c>
      <c r="H117" s="17">
        <f>IFERROR(VLOOKUP(F117,Hoja2!$K$2:$M$1198,3,FALSE),0)</f>
        <v>54001000</v>
      </c>
      <c r="I117" s="3" t="s">
        <v>7</v>
      </c>
      <c r="J117" s="3" t="s">
        <v>217</v>
      </c>
      <c r="K117" s="3" t="s">
        <v>219</v>
      </c>
      <c r="L117" s="12">
        <v>518840</v>
      </c>
      <c r="M117" s="11">
        <v>3649230</v>
      </c>
    </row>
    <row r="118" spans="1:13">
      <c r="A118" s="15">
        <v>46235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7">
        <f>IFERROR(VLOOKUP(F118,Hoja2!$K$2:$M$1198,2,FALSE),0)</f>
        <v>19142000</v>
      </c>
      <c r="H118" s="17">
        <f>IFERROR(VLOOKUP(F118,Hoja2!$K$2:$M$1198,3,FALSE),0)</f>
        <v>17001000</v>
      </c>
      <c r="I118" s="3" t="s">
        <v>7</v>
      </c>
      <c r="J118" s="3" t="s">
        <v>217</v>
      </c>
      <c r="K118" s="3" t="s">
        <v>219</v>
      </c>
      <c r="L118" s="12">
        <v>747567</v>
      </c>
      <c r="M118" s="11">
        <v>1535951</v>
      </c>
    </row>
    <row r="119" spans="1:13">
      <c r="A119" s="15">
        <v>46235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7">
        <f>IFERROR(VLOOKUP(F119,Hoja2!$K$2:$M$1198,2,FALSE),0)</f>
        <v>52356000</v>
      </c>
      <c r="H119" s="17">
        <f>IFERROR(VLOOKUP(F119,Hoja2!$K$2:$M$1198,3,FALSE),0)</f>
        <v>76892000</v>
      </c>
      <c r="I119" s="3" t="s">
        <v>7</v>
      </c>
      <c r="J119" s="3" t="s">
        <v>217</v>
      </c>
      <c r="K119" s="3" t="s">
        <v>219</v>
      </c>
      <c r="L119" s="12">
        <v>589092</v>
      </c>
      <c r="M119" s="11">
        <v>2394306</v>
      </c>
    </row>
    <row r="120" spans="1:13">
      <c r="A120" s="15">
        <v>46235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7">
        <f>IFERROR(VLOOKUP(F120,Hoja2!$K$2:$M$1198,2,FALSE),0)</f>
        <v>68547000</v>
      </c>
      <c r="H120" s="17">
        <f>IFERROR(VLOOKUP(F120,Hoja2!$K$2:$M$1198,3,FALSE),0)</f>
        <v>11001000</v>
      </c>
      <c r="I120" s="3" t="s">
        <v>7</v>
      </c>
      <c r="J120" s="3" t="s">
        <v>217</v>
      </c>
      <c r="K120" s="3" t="s">
        <v>219</v>
      </c>
      <c r="L120" s="12">
        <v>493969</v>
      </c>
      <c r="M120" s="11">
        <v>1675451</v>
      </c>
    </row>
    <row r="121" spans="1:13">
      <c r="A121" s="15">
        <v>46235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7">
        <f>IFERROR(VLOOKUP(F121,Hoja2!$K$2:$M$1198,2,FALSE),0)</f>
        <v>68001000</v>
      </c>
      <c r="H121" s="17">
        <f>IFERROR(VLOOKUP(F121,Hoja2!$K$2:$M$1198,3,FALSE),0)</f>
        <v>85001000</v>
      </c>
      <c r="I121" s="3" t="s">
        <v>7</v>
      </c>
      <c r="J121" s="3" t="s">
        <v>217</v>
      </c>
      <c r="K121" s="3" t="s">
        <v>219</v>
      </c>
      <c r="L121" s="12">
        <v>546091</v>
      </c>
      <c r="M121" s="11">
        <v>2149513</v>
      </c>
    </row>
    <row r="122" spans="1:13">
      <c r="A122" s="15">
        <v>46235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7">
        <f>IFERROR(VLOOKUP(F122,Hoja2!$K$2:$M$1198,2,FALSE),0)</f>
        <v>11001000</v>
      </c>
      <c r="H122" s="17">
        <f>IFERROR(VLOOKUP(F122,Hoja2!$K$2:$M$1198,3,FALSE),0)</f>
        <v>66170000</v>
      </c>
      <c r="I122" s="3" t="s">
        <v>7</v>
      </c>
      <c r="J122" s="3" t="s">
        <v>217</v>
      </c>
      <c r="K122" s="3" t="s">
        <v>219</v>
      </c>
      <c r="L122" s="12">
        <v>613659</v>
      </c>
      <c r="M122" s="11">
        <v>1663690</v>
      </c>
    </row>
    <row r="123" spans="1:13">
      <c r="A123" s="15">
        <v>46235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7">
        <f>IFERROR(VLOOKUP(F123,Hoja2!$K$2:$M$1198,2,FALSE),0)</f>
        <v>15238000</v>
      </c>
      <c r="H123" s="17">
        <f>IFERROR(VLOOKUP(F123,Hoja2!$K$2:$M$1198,3,FALSE),0)</f>
        <v>66001000</v>
      </c>
      <c r="I123" s="3" t="s">
        <v>7</v>
      </c>
      <c r="J123" s="3" t="s">
        <v>217</v>
      </c>
      <c r="K123" s="3" t="s">
        <v>219</v>
      </c>
      <c r="L123" s="12">
        <v>594549</v>
      </c>
      <c r="M123" s="11">
        <v>2424520</v>
      </c>
    </row>
    <row r="124" spans="1:13">
      <c r="A124" s="15">
        <v>46235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7">
        <f>IFERROR(VLOOKUP(F124,Hoja2!$K$2:$M$1198,2,FALSE),0)</f>
        <v>5001000</v>
      </c>
      <c r="H124" s="17">
        <f>IFERROR(VLOOKUP(F124,Hoja2!$K$2:$M$1198,3,FALSE),0)</f>
        <v>11001000</v>
      </c>
      <c r="I124" s="3" t="s">
        <v>7</v>
      </c>
      <c r="J124" s="3" t="s">
        <v>217</v>
      </c>
      <c r="K124" s="3" t="s">
        <v>219</v>
      </c>
      <c r="L124" s="12">
        <v>540965</v>
      </c>
      <c r="M124" s="11">
        <v>1965589</v>
      </c>
    </row>
    <row r="125" spans="1:13">
      <c r="A125" s="15">
        <v>46235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7">
        <f>IFERROR(VLOOKUP(F125,Hoja2!$K$2:$M$1198,2,FALSE),0)</f>
        <v>19142000</v>
      </c>
      <c r="H125" s="17">
        <f>IFERROR(VLOOKUP(F125,Hoja2!$K$2:$M$1198,3,FALSE),0)</f>
        <v>66001000</v>
      </c>
      <c r="I125" s="3" t="s">
        <v>7</v>
      </c>
      <c r="J125" s="3" t="s">
        <v>217</v>
      </c>
      <c r="K125" s="3" t="s">
        <v>219</v>
      </c>
      <c r="L125" s="12">
        <v>747567</v>
      </c>
      <c r="M125" s="11">
        <v>1064597</v>
      </c>
    </row>
    <row r="126" spans="1:13">
      <c r="A126" s="15">
        <v>46235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7">
        <f>IFERROR(VLOOKUP(F126,Hoja2!$K$2:$M$1198,2,FALSE),0)</f>
        <v>76892000</v>
      </c>
      <c r="H126" s="17">
        <f>IFERROR(VLOOKUP(F126,Hoja2!$K$2:$M$1198,3,FALSE),0)</f>
        <v>68081000</v>
      </c>
      <c r="I126" s="3" t="s">
        <v>7</v>
      </c>
      <c r="J126" s="3" t="s">
        <v>217</v>
      </c>
      <c r="K126" s="3" t="s">
        <v>219</v>
      </c>
      <c r="L126" s="12">
        <v>656101</v>
      </c>
      <c r="M126" s="11">
        <v>2931605</v>
      </c>
    </row>
    <row r="127" spans="1:13">
      <c r="A127" s="15">
        <v>46235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7">
        <f>IFERROR(VLOOKUP(F127,Hoja2!$K$2:$M$1198,2,FALSE),0)</f>
        <v>25799000</v>
      </c>
      <c r="H127" s="17">
        <f>IFERROR(VLOOKUP(F127,Hoja2!$K$2:$M$1198,3,FALSE),0)</f>
        <v>50001000</v>
      </c>
      <c r="I127" s="3" t="s">
        <v>7</v>
      </c>
      <c r="J127" s="3" t="s">
        <v>217</v>
      </c>
      <c r="K127" s="3" t="s">
        <v>219</v>
      </c>
      <c r="L127" s="12">
        <v>546091</v>
      </c>
      <c r="M127" s="11">
        <v>853341</v>
      </c>
    </row>
    <row r="128" spans="1:13">
      <c r="A128" s="15">
        <v>46235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7">
        <f>IFERROR(VLOOKUP(F128,Hoja2!$K$2:$M$1198,2,FALSE),0)</f>
        <v>66001000</v>
      </c>
      <c r="H128" s="17">
        <f>IFERROR(VLOOKUP(F128,Hoja2!$K$2:$M$1198,3,FALSE),0)</f>
        <v>8433000</v>
      </c>
      <c r="I128" s="3" t="s">
        <v>7</v>
      </c>
      <c r="J128" s="3" t="s">
        <v>217</v>
      </c>
      <c r="K128" s="3" t="s">
        <v>219</v>
      </c>
      <c r="L128" s="12">
        <v>619420</v>
      </c>
      <c r="M128" s="11">
        <v>4138358</v>
      </c>
    </row>
    <row r="129" spans="1:13">
      <c r="A129" s="15">
        <v>46235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7">
        <f>IFERROR(VLOOKUP(F129,Hoja2!$K$2:$M$1198,2,FALSE),0)</f>
        <v>76892000</v>
      </c>
      <c r="H129" s="17">
        <f>IFERROR(VLOOKUP(F129,Hoja2!$K$2:$M$1198,3,FALSE),0)</f>
        <v>52001000</v>
      </c>
      <c r="I129" s="3" t="s">
        <v>7</v>
      </c>
      <c r="J129" s="3" t="s">
        <v>217</v>
      </c>
      <c r="K129" s="3" t="s">
        <v>219</v>
      </c>
      <c r="L129" s="12">
        <v>632092</v>
      </c>
      <c r="M129" s="11">
        <v>1943004</v>
      </c>
    </row>
    <row r="130" spans="1:13">
      <c r="A130" s="15">
        <v>46235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7">
        <f>IFERROR(VLOOKUP(F130,Hoja2!$K$2:$M$1198,2,FALSE),0)</f>
        <v>5088000</v>
      </c>
      <c r="H130" s="17">
        <f>IFERROR(VLOOKUP(F130,Hoja2!$K$2:$M$1198,3,FALSE),0)</f>
        <v>47001000</v>
      </c>
      <c r="I130" s="3" t="s">
        <v>7</v>
      </c>
      <c r="J130" s="3" t="s">
        <v>217</v>
      </c>
      <c r="K130" s="3" t="s">
        <v>219</v>
      </c>
      <c r="L130" s="12">
        <v>518840</v>
      </c>
      <c r="M130" s="11">
        <v>4008080</v>
      </c>
    </row>
    <row r="131" spans="1:13">
      <c r="A131" s="15">
        <v>46235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7">
        <f>IFERROR(VLOOKUP(F131,Hoja2!$K$2:$M$1198,2,FALSE),0)</f>
        <v>8433000</v>
      </c>
      <c r="H131" s="17">
        <f>IFERROR(VLOOKUP(F131,Hoja2!$K$2:$M$1198,3,FALSE),0)</f>
        <v>5088000</v>
      </c>
      <c r="I131" s="3" t="s">
        <v>7</v>
      </c>
      <c r="J131" s="3" t="s">
        <v>217</v>
      </c>
      <c r="K131" s="3" t="s">
        <v>219</v>
      </c>
      <c r="L131" s="12">
        <v>518840</v>
      </c>
      <c r="M131" s="11">
        <v>2828479</v>
      </c>
    </row>
    <row r="132" spans="1:13">
      <c r="A132" s="15">
        <v>46235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7">
        <f>IFERROR(VLOOKUP(F132,Hoja2!$K$2:$M$1198,2,FALSE),0)</f>
        <v>11001000</v>
      </c>
      <c r="H132" s="17">
        <f>IFERROR(VLOOKUP(F132,Hoja2!$K$2:$M$1198,3,FALSE),0)</f>
        <v>68077000</v>
      </c>
      <c r="I132" s="3" t="s">
        <v>7</v>
      </c>
      <c r="J132" s="3" t="s">
        <v>217</v>
      </c>
      <c r="K132" s="3" t="s">
        <v>219</v>
      </c>
      <c r="L132" s="12">
        <v>569153</v>
      </c>
      <c r="M132" s="11">
        <v>1107057</v>
      </c>
    </row>
    <row r="133" spans="1:13">
      <c r="A133" s="15">
        <v>46235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7">
        <f>IFERROR(VLOOKUP(F133,Hoja2!$K$2:$M$1198,2,FALSE),0)</f>
        <v>11001000</v>
      </c>
      <c r="H133" s="17">
        <f>IFERROR(VLOOKUP(F133,Hoja2!$K$2:$M$1198,3,FALSE),0)</f>
        <v>15176000</v>
      </c>
      <c r="I133" s="3" t="s">
        <v>7</v>
      </c>
      <c r="J133" s="3" t="s">
        <v>217</v>
      </c>
      <c r="K133" s="3" t="s">
        <v>219</v>
      </c>
      <c r="L133" s="12">
        <v>546071</v>
      </c>
      <c r="M133" s="11">
        <v>971813</v>
      </c>
    </row>
    <row r="134" spans="1:13">
      <c r="A134" s="15">
        <v>46235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7">
        <f>IFERROR(VLOOKUP(F134,Hoja2!$K$2:$M$1198,2,FALSE),0)</f>
        <v>11001000</v>
      </c>
      <c r="H134" s="17">
        <f>IFERROR(VLOOKUP(F134,Hoja2!$K$2:$M$1198,3,FALSE),0)</f>
        <v>5088000</v>
      </c>
      <c r="I134" s="3" t="s">
        <v>7</v>
      </c>
      <c r="J134" s="3" t="s">
        <v>217</v>
      </c>
      <c r="K134" s="3" t="s">
        <v>219</v>
      </c>
      <c r="L134" s="12">
        <v>544667</v>
      </c>
      <c r="M134" s="11">
        <v>1928938</v>
      </c>
    </row>
    <row r="135" spans="1:13">
      <c r="A135" s="15">
        <v>46235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7">
        <f>IFERROR(VLOOKUP(F135,Hoja2!$K$2:$M$1198,2,FALSE),0)</f>
        <v>50001000</v>
      </c>
      <c r="H135" s="17">
        <f>IFERROR(VLOOKUP(F135,Hoja2!$K$2:$M$1198,3,FALSE),0)</f>
        <v>11001000</v>
      </c>
      <c r="I135" s="3" t="s">
        <v>7</v>
      </c>
      <c r="J135" s="3" t="s">
        <v>217</v>
      </c>
      <c r="K135" s="3" t="s">
        <v>219</v>
      </c>
      <c r="L135" s="12">
        <v>618124</v>
      </c>
      <c r="M135" s="11">
        <v>831958</v>
      </c>
    </row>
    <row r="136" spans="1:13">
      <c r="A136" s="15">
        <v>46235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7">
        <f>IFERROR(VLOOKUP(F136,Hoja2!$K$2:$M$1198,2,FALSE),0)</f>
        <v>68547000</v>
      </c>
      <c r="H136" s="17">
        <f>IFERROR(VLOOKUP(F136,Hoja2!$K$2:$M$1198,3,FALSE),0)</f>
        <v>11001000</v>
      </c>
      <c r="I136" s="3" t="s">
        <v>7</v>
      </c>
      <c r="J136" s="3" t="s">
        <v>217</v>
      </c>
      <c r="K136" s="3" t="s">
        <v>219</v>
      </c>
      <c r="L136" s="12">
        <v>518820</v>
      </c>
      <c r="M136" s="11">
        <v>1886478</v>
      </c>
    </row>
    <row r="137" spans="1:13">
      <c r="A137" s="15">
        <v>46235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7">
        <f>IFERROR(VLOOKUP(F137,Hoja2!$K$2:$M$1198,2,FALSE),0)</f>
        <v>25799000</v>
      </c>
      <c r="H137" s="17">
        <f>IFERROR(VLOOKUP(F137,Hoja2!$K$2:$M$1198,3,FALSE),0)</f>
        <v>5001000</v>
      </c>
      <c r="I137" s="3" t="s">
        <v>7</v>
      </c>
      <c r="J137" s="3" t="s">
        <v>217</v>
      </c>
      <c r="K137" s="3" t="s">
        <v>219</v>
      </c>
      <c r="L137" s="12">
        <v>518840</v>
      </c>
      <c r="M137" s="11">
        <v>1881622</v>
      </c>
    </row>
    <row r="138" spans="1:13">
      <c r="A138" s="15">
        <v>46235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7">
        <f>IFERROR(VLOOKUP(F138,Hoja2!$K$2:$M$1198,2,FALSE),0)</f>
        <v>11001000</v>
      </c>
      <c r="H138" s="17">
        <f>IFERROR(VLOOKUP(F138,Hoja2!$K$2:$M$1198,3,FALSE),0)</f>
        <v>47001000</v>
      </c>
      <c r="I138" s="3" t="s">
        <v>7</v>
      </c>
      <c r="J138" s="3" t="s">
        <v>217</v>
      </c>
      <c r="K138" s="3" t="s">
        <v>219</v>
      </c>
      <c r="L138" s="12">
        <v>518820</v>
      </c>
      <c r="M138" s="11">
        <v>4147255</v>
      </c>
    </row>
    <row r="139" spans="1:13">
      <c r="A139" s="15">
        <v>46235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7">
        <f>IFERROR(VLOOKUP(F139,Hoja2!$K$2:$M$1198,2,FALSE),0)</f>
        <v>11001000</v>
      </c>
      <c r="H139" s="17">
        <f>IFERROR(VLOOKUP(F139,Hoja2!$K$2:$M$1198,3,FALSE),0)</f>
        <v>5154000</v>
      </c>
      <c r="I139" s="3" t="s">
        <v>7</v>
      </c>
      <c r="J139" s="3" t="s">
        <v>217</v>
      </c>
      <c r="K139" s="3" t="s">
        <v>219</v>
      </c>
      <c r="L139" s="12">
        <v>781691</v>
      </c>
      <c r="M139" s="11">
        <v>2981113</v>
      </c>
    </row>
    <row r="140" spans="1:13">
      <c r="A140" s="15">
        <v>46235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7">
        <f>IFERROR(VLOOKUP(F140,Hoja2!$K$2:$M$1198,2,FALSE),0)</f>
        <v>8433000</v>
      </c>
      <c r="H140" s="17">
        <f>IFERROR(VLOOKUP(F140,Hoja2!$K$2:$M$1198,3,FALSE),0)</f>
        <v>68001000</v>
      </c>
      <c r="I140" s="3" t="s">
        <v>7</v>
      </c>
      <c r="J140" s="3" t="s">
        <v>217</v>
      </c>
      <c r="K140" s="3" t="s">
        <v>219</v>
      </c>
      <c r="L140" s="12">
        <v>981863</v>
      </c>
      <c r="M140" s="11">
        <v>2998489</v>
      </c>
    </row>
    <row r="141" spans="1:13">
      <c r="A141" s="15">
        <v>46235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7">
        <f>IFERROR(VLOOKUP(F141,Hoja2!$K$2:$M$1198,2,FALSE),0)</f>
        <v>8433000</v>
      </c>
      <c r="H141" s="17">
        <f>IFERROR(VLOOKUP(F141,Hoja2!$K$2:$M$1198,3,FALSE),0)</f>
        <v>50001000</v>
      </c>
      <c r="I141" s="3" t="s">
        <v>7</v>
      </c>
      <c r="J141" s="3" t="s">
        <v>217</v>
      </c>
      <c r="K141" s="3" t="s">
        <v>219</v>
      </c>
      <c r="L141" s="12">
        <v>568208</v>
      </c>
      <c r="M141" s="11">
        <v>5164062</v>
      </c>
    </row>
    <row r="142" spans="1:13">
      <c r="A142" s="15">
        <v>46235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7">
        <f>IFERROR(VLOOKUP(F142,Hoja2!$K$2:$M$1198,2,FALSE),0)</f>
        <v>19142000</v>
      </c>
      <c r="H142" s="17">
        <f>IFERROR(VLOOKUP(F142,Hoja2!$K$2:$M$1198,3,FALSE),0)</f>
        <v>11001000</v>
      </c>
      <c r="I142" s="3" t="s">
        <v>7</v>
      </c>
      <c r="J142" s="3" t="s">
        <v>217</v>
      </c>
      <c r="K142" s="3" t="s">
        <v>219</v>
      </c>
      <c r="L142" s="12">
        <v>518840</v>
      </c>
      <c r="M142" s="11">
        <v>2073628</v>
      </c>
    </row>
    <row r="143" spans="1:13">
      <c r="A143" s="15">
        <v>46235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7">
        <f>IFERROR(VLOOKUP(F143,Hoja2!$K$2:$M$1198,2,FALSE),0)</f>
        <v>76001000</v>
      </c>
      <c r="H143" s="17">
        <f>IFERROR(VLOOKUP(F143,Hoja2!$K$2:$M$1198,3,FALSE),0)</f>
        <v>50001000</v>
      </c>
      <c r="I143" s="3" t="s">
        <v>7</v>
      </c>
      <c r="J143" s="3" t="s">
        <v>217</v>
      </c>
      <c r="K143" s="3" t="s">
        <v>219</v>
      </c>
      <c r="L143" s="12">
        <v>559173</v>
      </c>
      <c r="M143" s="11">
        <v>2672743</v>
      </c>
    </row>
    <row r="144" spans="1:13">
      <c r="A144" s="15">
        <v>46235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7">
        <f>IFERROR(VLOOKUP(F144,Hoja2!$K$2:$M$1198,2,FALSE),0)</f>
        <v>68547000</v>
      </c>
      <c r="H144" s="17">
        <f>IFERROR(VLOOKUP(F144,Hoja2!$K$2:$M$1198,3,FALSE),0)</f>
        <v>11001000</v>
      </c>
      <c r="I144" s="3" t="s">
        <v>7</v>
      </c>
      <c r="J144" s="3" t="s">
        <v>217</v>
      </c>
      <c r="K144" s="3" t="s">
        <v>219</v>
      </c>
      <c r="L144" s="12">
        <v>518840</v>
      </c>
      <c r="M144" s="11">
        <v>1838191</v>
      </c>
    </row>
    <row r="145" spans="1:13">
      <c r="A145" s="15">
        <v>46235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7">
        <f>IFERROR(VLOOKUP(F145,Hoja2!$K$2:$M$1198,2,FALSE),0)</f>
        <v>19142000</v>
      </c>
      <c r="H145" s="17">
        <f>IFERROR(VLOOKUP(F145,Hoja2!$K$2:$M$1198,3,FALSE),0)</f>
        <v>41001000</v>
      </c>
      <c r="I145" s="3" t="s">
        <v>7</v>
      </c>
      <c r="J145" s="3" t="s">
        <v>217</v>
      </c>
      <c r="K145" s="3" t="s">
        <v>219</v>
      </c>
      <c r="L145" s="12">
        <v>1092420</v>
      </c>
      <c r="M145" s="11">
        <v>2479608</v>
      </c>
    </row>
    <row r="146" spans="1:13">
      <c r="A146" s="15">
        <v>46235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7">
        <f>IFERROR(VLOOKUP(F146,Hoja2!$K$2:$M$1198,2,FALSE),0)</f>
        <v>13001000</v>
      </c>
      <c r="H146" s="17">
        <f>IFERROR(VLOOKUP(F146,Hoja2!$K$2:$M$1198,3,FALSE),0)</f>
        <v>76892000</v>
      </c>
      <c r="I146" s="3" t="s">
        <v>7</v>
      </c>
      <c r="J146" s="3" t="s">
        <v>217</v>
      </c>
      <c r="K146" s="3" t="s">
        <v>219</v>
      </c>
      <c r="L146" s="12">
        <v>574770</v>
      </c>
      <c r="M146" s="11">
        <v>4544812</v>
      </c>
    </row>
    <row r="147" spans="1:13">
      <c r="A147" s="15">
        <v>46235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7">
        <f>IFERROR(VLOOKUP(F147,Hoja2!$K$2:$M$1198,2,FALSE),0)</f>
        <v>76892000</v>
      </c>
      <c r="H147" s="17">
        <f>IFERROR(VLOOKUP(F147,Hoja2!$K$2:$M$1198,3,FALSE),0)</f>
        <v>5001000</v>
      </c>
      <c r="I147" s="3" t="s">
        <v>7</v>
      </c>
      <c r="J147" s="3" t="s">
        <v>217</v>
      </c>
      <c r="K147" s="3" t="s">
        <v>219</v>
      </c>
      <c r="L147" s="12">
        <v>609820</v>
      </c>
      <c r="M147" s="11">
        <v>2964946</v>
      </c>
    </row>
    <row r="148" spans="1:13">
      <c r="A148" s="15">
        <v>46235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7">
        <f>IFERROR(VLOOKUP(F148,Hoja2!$K$2:$M$1198,2,FALSE),0)</f>
        <v>8433000</v>
      </c>
      <c r="H148" s="17">
        <f>IFERROR(VLOOKUP(F148,Hoja2!$K$2:$M$1198,3,FALSE),0)</f>
        <v>76892000</v>
      </c>
      <c r="I148" s="3" t="s">
        <v>7</v>
      </c>
      <c r="J148" s="3" t="s">
        <v>217</v>
      </c>
      <c r="K148" s="3" t="s">
        <v>219</v>
      </c>
      <c r="L148" s="12">
        <v>518840</v>
      </c>
      <c r="M148" s="11">
        <v>4567254</v>
      </c>
    </row>
    <row r="149" spans="1:13">
      <c r="A149" s="15">
        <v>46235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7">
        <f>IFERROR(VLOOKUP(F149,Hoja2!$K$2:$M$1198,2,FALSE),0)</f>
        <v>11001000</v>
      </c>
      <c r="H149" s="17">
        <f>IFERROR(VLOOKUP(F149,Hoja2!$K$2:$M$1198,3,FALSE),0)</f>
        <v>15238000</v>
      </c>
      <c r="I149" s="3" t="s">
        <v>7</v>
      </c>
      <c r="J149" s="3" t="s">
        <v>217</v>
      </c>
      <c r="K149" s="3" t="s">
        <v>219</v>
      </c>
      <c r="L149" s="12">
        <v>494976</v>
      </c>
      <c r="M149" s="11">
        <v>1051976</v>
      </c>
    </row>
    <row r="150" spans="1:13">
      <c r="A150" s="15">
        <v>46235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7">
        <f>IFERROR(VLOOKUP(F150,Hoja2!$K$2:$M$1198,2,FALSE),0)</f>
        <v>8433000</v>
      </c>
      <c r="H150" s="17">
        <f>IFERROR(VLOOKUP(F150,Hoja2!$K$2:$M$1198,3,FALSE),0)</f>
        <v>70001000</v>
      </c>
      <c r="I150" s="3" t="s">
        <v>7</v>
      </c>
      <c r="J150" s="3" t="s">
        <v>217</v>
      </c>
      <c r="K150" s="3" t="s">
        <v>219</v>
      </c>
      <c r="L150" s="12">
        <v>781711</v>
      </c>
      <c r="M150" s="11">
        <v>1154048</v>
      </c>
    </row>
    <row r="151" spans="1:13">
      <c r="A151" s="15">
        <v>46235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7">
        <f>IFERROR(VLOOKUP(F151,Hoja2!$K$2:$M$1198,2,FALSE),0)</f>
        <v>50001000</v>
      </c>
      <c r="H151" s="17">
        <f>IFERROR(VLOOKUP(F151,Hoja2!$K$2:$M$1198,3,FALSE),0)</f>
        <v>76892000</v>
      </c>
      <c r="I151" s="3" t="s">
        <v>7</v>
      </c>
      <c r="J151" s="3" t="s">
        <v>217</v>
      </c>
      <c r="K151" s="3" t="s">
        <v>219</v>
      </c>
      <c r="L151" s="12">
        <v>559173</v>
      </c>
      <c r="M151" s="11">
        <v>2565238</v>
      </c>
    </row>
    <row r="152" spans="1:13">
      <c r="A152" s="15">
        <v>46235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7">
        <f>IFERROR(VLOOKUP(F152,Hoja2!$K$2:$M$1198,2,FALSE),0)</f>
        <v>11001000</v>
      </c>
      <c r="H152" s="17">
        <f>IFERROR(VLOOKUP(F152,Hoja2!$K$2:$M$1198,3,FALSE),0)</f>
        <v>20001000</v>
      </c>
      <c r="I152" s="3" t="s">
        <v>7</v>
      </c>
      <c r="J152" s="3" t="s">
        <v>217</v>
      </c>
      <c r="K152" s="3" t="s">
        <v>219</v>
      </c>
      <c r="L152" s="12">
        <v>546856</v>
      </c>
      <c r="M152" s="11">
        <v>3922965</v>
      </c>
    </row>
    <row r="153" spans="1:13">
      <c r="A153" s="15">
        <v>46235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7">
        <f>IFERROR(VLOOKUP(F153,Hoja2!$K$2:$M$1198,2,FALSE),0)</f>
        <v>5001000</v>
      </c>
      <c r="H153" s="17">
        <f>IFERROR(VLOOKUP(F153,Hoja2!$K$2:$M$1198,3,FALSE),0)</f>
        <v>66170000</v>
      </c>
      <c r="I153" s="3" t="s">
        <v>7</v>
      </c>
      <c r="J153" s="3" t="s">
        <v>217</v>
      </c>
      <c r="K153" s="3" t="s">
        <v>219</v>
      </c>
      <c r="L153" s="12">
        <v>619420</v>
      </c>
      <c r="M153" s="11">
        <v>1064597</v>
      </c>
    </row>
    <row r="154" spans="1:13">
      <c r="A154" s="15">
        <v>46235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7">
        <f>IFERROR(VLOOKUP(F154,Hoja2!$K$2:$M$1198,2,FALSE),0)</f>
        <v>11001000</v>
      </c>
      <c r="H154" s="17">
        <f>IFERROR(VLOOKUP(F154,Hoja2!$K$2:$M$1198,3,FALSE),0)</f>
        <v>5615000</v>
      </c>
      <c r="I154" s="3" t="s">
        <v>7</v>
      </c>
      <c r="J154" s="3" t="s">
        <v>217</v>
      </c>
      <c r="K154" s="3" t="s">
        <v>219</v>
      </c>
      <c r="L154" s="12">
        <v>484294</v>
      </c>
      <c r="M154" s="11">
        <v>1838982</v>
      </c>
    </row>
    <row r="155" spans="1:13">
      <c r="A155" s="15">
        <v>46235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7">
        <f>IFERROR(VLOOKUP(F155,Hoja2!$K$2:$M$1198,2,FALSE),0)</f>
        <v>15238000</v>
      </c>
      <c r="H155" s="17">
        <f>IFERROR(VLOOKUP(F155,Hoja2!$K$2:$M$1198,3,FALSE),0)</f>
        <v>13001000</v>
      </c>
      <c r="I155" s="3" t="s">
        <v>7</v>
      </c>
      <c r="J155" s="3" t="s">
        <v>217</v>
      </c>
      <c r="K155" s="3" t="s">
        <v>219</v>
      </c>
      <c r="L155" s="12">
        <v>549899</v>
      </c>
      <c r="M155" s="11">
        <v>4251985</v>
      </c>
    </row>
    <row r="156" spans="1:13">
      <c r="A156" s="15">
        <v>46235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7">
        <f>IFERROR(VLOOKUP(F156,Hoja2!$K$2:$M$1198,2,FALSE),0)</f>
        <v>5001000</v>
      </c>
      <c r="H156" s="17">
        <f>IFERROR(VLOOKUP(F156,Hoja2!$K$2:$M$1198,3,FALSE),0)</f>
        <v>47001000</v>
      </c>
      <c r="I156" s="3" t="s">
        <v>7</v>
      </c>
      <c r="J156" s="3" t="s">
        <v>217</v>
      </c>
      <c r="K156" s="3" t="s">
        <v>219</v>
      </c>
      <c r="L156" s="12">
        <v>518840</v>
      </c>
      <c r="M156" s="11">
        <v>3834547</v>
      </c>
    </row>
    <row r="157" spans="1:13">
      <c r="A157" s="15">
        <v>46235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7">
        <f>IFERROR(VLOOKUP(F157,Hoja2!$K$2:$M$1198,2,FALSE),0)</f>
        <v>11001000</v>
      </c>
      <c r="H157" s="17">
        <f>IFERROR(VLOOKUP(F157,Hoja2!$K$2:$M$1198,3,FALSE),0)</f>
        <v>54001000</v>
      </c>
      <c r="I157" s="3" t="s">
        <v>7</v>
      </c>
      <c r="J157" s="3" t="s">
        <v>217</v>
      </c>
      <c r="K157" s="3" t="s">
        <v>219</v>
      </c>
      <c r="L157" s="12">
        <v>547548</v>
      </c>
      <c r="M157" s="11">
        <v>2831297</v>
      </c>
    </row>
    <row r="158" spans="1:13">
      <c r="A158" s="15">
        <v>46235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7">
        <f>IFERROR(VLOOKUP(F158,Hoja2!$K$2:$M$1198,2,FALSE),0)</f>
        <v>8433000</v>
      </c>
      <c r="H158" s="17">
        <f>IFERROR(VLOOKUP(F158,Hoja2!$K$2:$M$1198,3,FALSE),0)</f>
        <v>5154000</v>
      </c>
      <c r="I158" s="3" t="s">
        <v>7</v>
      </c>
      <c r="J158" s="3" t="s">
        <v>217</v>
      </c>
      <c r="K158" s="3" t="s">
        <v>219</v>
      </c>
      <c r="L158" s="12">
        <v>781711</v>
      </c>
      <c r="M158" s="11">
        <v>1871812</v>
      </c>
    </row>
    <row r="159" spans="1:13">
      <c r="A159" s="15">
        <v>46235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7">
        <f>IFERROR(VLOOKUP(F159,Hoja2!$K$2:$M$1198,2,FALSE),0)</f>
        <v>11001000</v>
      </c>
      <c r="H159" s="17">
        <f>IFERROR(VLOOKUP(F159,Hoja2!$K$2:$M$1198,3,FALSE),0)</f>
        <v>68547000</v>
      </c>
      <c r="I159" s="3" t="s">
        <v>7</v>
      </c>
      <c r="J159" s="3" t="s">
        <v>217</v>
      </c>
      <c r="K159" s="3" t="s">
        <v>219</v>
      </c>
      <c r="L159" s="12">
        <v>518820</v>
      </c>
      <c r="M159" s="11">
        <v>1895323</v>
      </c>
    </row>
    <row r="160" spans="1:13">
      <c r="A160" s="15">
        <v>46235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7">
        <f>IFERROR(VLOOKUP(F160,Hoja2!$K$2:$M$1198,2,FALSE),0)</f>
        <v>11001000</v>
      </c>
      <c r="H160" s="17">
        <f>IFERROR(VLOOKUP(F160,Hoja2!$K$2:$M$1198,3,FALSE),0)</f>
        <v>68081000</v>
      </c>
      <c r="I160" s="3" t="s">
        <v>7</v>
      </c>
      <c r="J160" s="3" t="s">
        <v>217</v>
      </c>
      <c r="K160" s="3" t="s">
        <v>219</v>
      </c>
      <c r="L160" s="12">
        <v>683014</v>
      </c>
      <c r="M160" s="11">
        <v>1978692</v>
      </c>
    </row>
    <row r="161" spans="1:13">
      <c r="A161" s="15">
        <v>46235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7">
        <f>IFERROR(VLOOKUP(F161,Hoja2!$K$2:$M$1198,2,FALSE),0)</f>
        <v>19142000</v>
      </c>
      <c r="H161" s="17">
        <f>IFERROR(VLOOKUP(F161,Hoja2!$K$2:$M$1198,3,FALSE),0)</f>
        <v>5001000</v>
      </c>
      <c r="I161" s="3" t="s">
        <v>7</v>
      </c>
      <c r="J161" s="3" t="s">
        <v>217</v>
      </c>
      <c r="K161" s="3" t="s">
        <v>219</v>
      </c>
      <c r="L161" s="12">
        <v>609820</v>
      </c>
      <c r="M161" s="11">
        <v>2980945</v>
      </c>
    </row>
    <row r="162" spans="1:13">
      <c r="A162" s="15">
        <v>46235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7">
        <f>IFERROR(VLOOKUP(F162,Hoja2!$K$2:$M$1198,2,FALSE),0)</f>
        <v>19142000</v>
      </c>
      <c r="H162" s="17">
        <f>IFERROR(VLOOKUP(F162,Hoja2!$K$2:$M$1198,3,FALSE),0)</f>
        <v>19001000</v>
      </c>
      <c r="I162" s="3" t="s">
        <v>7</v>
      </c>
      <c r="J162" s="3" t="s">
        <v>217</v>
      </c>
      <c r="K162" s="3" t="s">
        <v>219</v>
      </c>
      <c r="L162" s="12">
        <v>617759</v>
      </c>
      <c r="M162" s="11">
        <v>693283</v>
      </c>
    </row>
    <row r="163" spans="1:13">
      <c r="A163" s="15">
        <v>46235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7">
        <f>IFERROR(VLOOKUP(F163,Hoja2!$K$2:$M$1198,2,FALSE),0)</f>
        <v>50001000</v>
      </c>
      <c r="H163" s="17">
        <f>IFERROR(VLOOKUP(F163,Hoja2!$K$2:$M$1198,3,FALSE),0)</f>
        <v>68001000</v>
      </c>
      <c r="I163" s="3" t="s">
        <v>7</v>
      </c>
      <c r="J163" s="3" t="s">
        <v>217</v>
      </c>
      <c r="K163" s="3" t="s">
        <v>219</v>
      </c>
      <c r="L163" s="12">
        <v>559148</v>
      </c>
      <c r="M163" s="11">
        <v>2355919</v>
      </c>
    </row>
    <row r="164" spans="1:13">
      <c r="A164" s="15">
        <v>46235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7">
        <f>IFERROR(VLOOKUP(F164,Hoja2!$K$2:$M$1198,2,FALSE),0)</f>
        <v>8433000</v>
      </c>
      <c r="H164" s="17">
        <f>IFERROR(VLOOKUP(F164,Hoja2!$K$2:$M$1198,3,FALSE),0)</f>
        <v>11001000</v>
      </c>
      <c r="I164" s="3" t="s">
        <v>7</v>
      </c>
      <c r="J164" s="3" t="s">
        <v>217</v>
      </c>
      <c r="K164" s="3" t="s">
        <v>219</v>
      </c>
      <c r="L164" s="12">
        <v>495040</v>
      </c>
      <c r="M164" s="11">
        <v>4296870</v>
      </c>
    </row>
    <row r="165" spans="1:13">
      <c r="A165" s="15">
        <v>46235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7">
        <f>IFERROR(VLOOKUP(F165,Hoja2!$K$2:$M$1198,2,FALSE),0)</f>
        <v>54001000</v>
      </c>
      <c r="H165" s="17">
        <f>IFERROR(VLOOKUP(F165,Hoja2!$K$2:$M$1198,3,FALSE),0)</f>
        <v>66001000</v>
      </c>
      <c r="I165" s="3" t="s">
        <v>7</v>
      </c>
      <c r="J165" s="3" t="s">
        <v>217</v>
      </c>
      <c r="K165" s="3" t="s">
        <v>219</v>
      </c>
      <c r="L165" s="12">
        <v>619420</v>
      </c>
      <c r="M165" s="11">
        <v>3194218</v>
      </c>
    </row>
    <row r="166" spans="1:13">
      <c r="A166" s="15">
        <v>46235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7">
        <f>IFERROR(VLOOKUP(F166,Hoja2!$K$2:$M$1198,2,FALSE),0)</f>
        <v>11001000</v>
      </c>
      <c r="H166" s="17">
        <f>IFERROR(VLOOKUP(F166,Hoja2!$K$2:$M$1198,3,FALSE),0)</f>
        <v>13001000</v>
      </c>
      <c r="I166" s="3" t="s">
        <v>7</v>
      </c>
      <c r="J166" s="3" t="s">
        <v>217</v>
      </c>
      <c r="K166" s="3" t="s">
        <v>219</v>
      </c>
      <c r="L166" s="12">
        <v>598823</v>
      </c>
      <c r="M166" s="11">
        <v>4404842</v>
      </c>
    </row>
    <row r="167" spans="1:13">
      <c r="A167" s="15">
        <v>46235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7">
        <f>IFERROR(VLOOKUP(F167,Hoja2!$K$2:$M$1198,2,FALSE),0)</f>
        <v>19142000</v>
      </c>
      <c r="H167" s="17">
        <f>IFERROR(VLOOKUP(F167,Hoja2!$K$2:$M$1198,3,FALSE),0)</f>
        <v>76364000</v>
      </c>
      <c r="I167" s="3" t="s">
        <v>7</v>
      </c>
      <c r="J167" s="3" t="s">
        <v>217</v>
      </c>
      <c r="K167" s="3" t="s">
        <v>219</v>
      </c>
      <c r="L167" s="12">
        <v>572418</v>
      </c>
      <c r="M167" s="11">
        <v>602706</v>
      </c>
    </row>
    <row r="168" spans="1:13">
      <c r="A168" s="15">
        <v>46235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7">
        <f>IFERROR(VLOOKUP(F168,Hoja2!$K$2:$M$1198,2,FALSE),0)</f>
        <v>76892000</v>
      </c>
      <c r="H168" s="17">
        <f>IFERROR(VLOOKUP(F168,Hoja2!$K$2:$M$1198,3,FALSE),0)</f>
        <v>25899000</v>
      </c>
      <c r="I168" s="3" t="s">
        <v>7</v>
      </c>
      <c r="J168" s="3" t="s">
        <v>217</v>
      </c>
      <c r="K168" s="3" t="s">
        <v>219</v>
      </c>
      <c r="L168" s="12">
        <v>493969</v>
      </c>
      <c r="M168" s="11">
        <v>2086095</v>
      </c>
    </row>
    <row r="169" spans="1:13">
      <c r="A169" s="15">
        <v>46235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7">
        <f>IFERROR(VLOOKUP(F169,Hoja2!$K$2:$M$1198,2,FALSE),0)</f>
        <v>5088000</v>
      </c>
      <c r="H169" s="17">
        <f>IFERROR(VLOOKUP(F169,Hoja2!$K$2:$M$1198,3,FALSE),0)</f>
        <v>5001000</v>
      </c>
      <c r="I169" s="3" t="s">
        <v>7</v>
      </c>
      <c r="J169" s="3" t="s">
        <v>217</v>
      </c>
      <c r="K169" s="3" t="s">
        <v>219</v>
      </c>
      <c r="L169" s="12">
        <v>518840</v>
      </c>
      <c r="M169" s="11">
        <v>565134</v>
      </c>
    </row>
    <row r="170" spans="1:13">
      <c r="A170" s="15">
        <v>46235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7">
        <f>IFERROR(VLOOKUP(F170,Hoja2!$K$2:$M$1198,2,FALSE),0)</f>
        <v>5001000</v>
      </c>
      <c r="H170" s="17">
        <f>IFERROR(VLOOKUP(F170,Hoja2!$K$2:$M$1198,3,FALSE),0)</f>
        <v>23001000</v>
      </c>
      <c r="I170" s="3" t="s">
        <v>7</v>
      </c>
      <c r="J170" s="3" t="s">
        <v>217</v>
      </c>
      <c r="K170" s="3" t="s">
        <v>219</v>
      </c>
      <c r="L170" s="12">
        <v>534310</v>
      </c>
      <c r="M170" s="11">
        <v>1880196</v>
      </c>
    </row>
    <row r="171" spans="1:13">
      <c r="A171" s="15">
        <v>46235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7">
        <f>IFERROR(VLOOKUP(F171,Hoja2!$K$2:$M$1198,2,FALSE),0)</f>
        <v>76892000</v>
      </c>
      <c r="H171" s="17">
        <f>IFERROR(VLOOKUP(F171,Hoja2!$K$2:$M$1198,3,FALSE),0)</f>
        <v>23001000</v>
      </c>
      <c r="I171" s="3" t="s">
        <v>7</v>
      </c>
      <c r="J171" s="3" t="s">
        <v>217</v>
      </c>
      <c r="K171" s="3" t="s">
        <v>219</v>
      </c>
      <c r="L171" s="12">
        <v>534310</v>
      </c>
      <c r="M171" s="11">
        <v>3160489</v>
      </c>
    </row>
    <row r="172" spans="1:13">
      <c r="A172" s="15">
        <v>46235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7">
        <f>IFERROR(VLOOKUP(F172,Hoja2!$K$2:$M$1198,2,FALSE),0)</f>
        <v>66001000</v>
      </c>
      <c r="H172" s="17">
        <f>IFERROR(VLOOKUP(F172,Hoja2!$K$2:$M$1198,3,FALSE),0)</f>
        <v>11001000</v>
      </c>
      <c r="I172" s="3" t="s">
        <v>7</v>
      </c>
      <c r="J172" s="3" t="s">
        <v>217</v>
      </c>
      <c r="K172" s="3" t="s">
        <v>219</v>
      </c>
      <c r="L172" s="12">
        <v>619400</v>
      </c>
      <c r="M172" s="11">
        <v>1637807</v>
      </c>
    </row>
    <row r="173" spans="1:13">
      <c r="A173" s="15">
        <v>46235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7">
        <f>IFERROR(VLOOKUP(F173,Hoja2!$K$2:$M$1198,2,FALSE),0)</f>
        <v>19142000</v>
      </c>
      <c r="H173" s="17">
        <f>IFERROR(VLOOKUP(F173,Hoja2!$K$2:$M$1198,3,FALSE),0)</f>
        <v>11001000</v>
      </c>
      <c r="I173" s="3" t="s">
        <v>7</v>
      </c>
      <c r="J173" s="3" t="s">
        <v>217</v>
      </c>
      <c r="K173" s="3" t="s">
        <v>219</v>
      </c>
      <c r="L173" s="12">
        <v>495040</v>
      </c>
      <c r="M173" s="11">
        <v>2052327</v>
      </c>
    </row>
    <row r="174" spans="1:13">
      <c r="A174" s="15">
        <v>46235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7">
        <f>IFERROR(VLOOKUP(F174,Hoja2!$K$2:$M$1198,2,FALSE),0)</f>
        <v>11001000</v>
      </c>
      <c r="H174" s="17">
        <f>IFERROR(VLOOKUP(F174,Hoja2!$K$2:$M$1198,3,FALSE),0)</f>
        <v>23001000</v>
      </c>
      <c r="I174" s="3" t="s">
        <v>7</v>
      </c>
      <c r="J174" s="3" t="s">
        <v>217</v>
      </c>
      <c r="K174" s="3" t="s">
        <v>219</v>
      </c>
      <c r="L174" s="12">
        <v>534310</v>
      </c>
      <c r="M174" s="11">
        <v>3804927</v>
      </c>
    </row>
    <row r="175" spans="1:13">
      <c r="A175" s="15">
        <v>46235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7">
        <f>IFERROR(VLOOKUP(F175,Hoja2!$K$2:$M$1198,2,FALSE),0)</f>
        <v>0</v>
      </c>
      <c r="H175" s="17">
        <f>IFERROR(VLOOKUP(F175,Hoja2!$K$2:$M$1198,3,FALSE),0)</f>
        <v>0</v>
      </c>
      <c r="I175" s="3" t="s">
        <v>7</v>
      </c>
      <c r="J175" s="3" t="s">
        <v>217</v>
      </c>
      <c r="K175" s="3" t="s">
        <v>219</v>
      </c>
      <c r="L175" s="12">
        <v>598870</v>
      </c>
      <c r="M175" s="11">
        <v>690984</v>
      </c>
    </row>
    <row r="176" spans="1:13">
      <c r="A176" s="15">
        <v>46235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7">
        <f>IFERROR(VLOOKUP(F176,Hoja2!$K$2:$M$1198,2,FALSE),0)</f>
        <v>8433000</v>
      </c>
      <c r="H176" s="17">
        <f>IFERROR(VLOOKUP(F176,Hoja2!$K$2:$M$1198,3,FALSE),0)</f>
        <v>54498000</v>
      </c>
      <c r="I176" s="3" t="s">
        <v>7</v>
      </c>
      <c r="J176" s="3" t="s">
        <v>217</v>
      </c>
      <c r="K176" s="3" t="s">
        <v>219</v>
      </c>
      <c r="L176" s="12">
        <v>1177321</v>
      </c>
      <c r="M176" s="11">
        <v>2074947</v>
      </c>
    </row>
    <row r="177" spans="1:13">
      <c r="A177" s="15">
        <v>46235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7">
        <f>IFERROR(VLOOKUP(F177,Hoja2!$K$2:$M$1198,2,FALSE),0)</f>
        <v>11001000</v>
      </c>
      <c r="H177" s="17">
        <f>IFERROR(VLOOKUP(F177,Hoja2!$K$2:$M$1198,3,FALSE),0)</f>
        <v>20001000</v>
      </c>
      <c r="I177" s="3" t="s">
        <v>7</v>
      </c>
      <c r="J177" s="3" t="s">
        <v>217</v>
      </c>
      <c r="K177" s="3" t="s">
        <v>219</v>
      </c>
      <c r="L177" s="12">
        <v>546876</v>
      </c>
      <c r="M177" s="11">
        <v>3867974</v>
      </c>
    </row>
    <row r="178" spans="1:13">
      <c r="A178" s="15">
        <v>46235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7">
        <f>IFERROR(VLOOKUP(F178,Hoja2!$K$2:$M$1198,2,FALSE),0)</f>
        <v>11001000</v>
      </c>
      <c r="H178" s="17">
        <f>IFERROR(VLOOKUP(F178,Hoja2!$K$2:$M$1198,3,FALSE),0)</f>
        <v>66170000</v>
      </c>
      <c r="I178" s="3" t="s">
        <v>7</v>
      </c>
      <c r="J178" s="3" t="s">
        <v>217</v>
      </c>
      <c r="K178" s="3" t="s">
        <v>219</v>
      </c>
      <c r="L178" s="12">
        <v>619400</v>
      </c>
      <c r="M178" s="11">
        <v>1650737</v>
      </c>
    </row>
    <row r="179" spans="1:13">
      <c r="A179" s="15">
        <v>46235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7">
        <f>IFERROR(VLOOKUP(F179,Hoja2!$K$2:$M$1198,2,FALSE),0)</f>
        <v>76892000</v>
      </c>
      <c r="H179" s="17">
        <f>IFERROR(VLOOKUP(F179,Hoja2!$K$2:$M$1198,3,FALSE),0)</f>
        <v>13001000</v>
      </c>
      <c r="I179" s="3" t="s">
        <v>7</v>
      </c>
      <c r="J179" s="3" t="s">
        <v>217</v>
      </c>
      <c r="K179" s="3" t="s">
        <v>219</v>
      </c>
      <c r="L179" s="12">
        <v>574770</v>
      </c>
      <c r="M179" s="11">
        <v>4524863</v>
      </c>
    </row>
    <row r="180" spans="1:13">
      <c r="A180" s="15">
        <v>46235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7">
        <f>IFERROR(VLOOKUP(F180,Hoja2!$K$2:$M$1198,2,FALSE),0)</f>
        <v>11001000</v>
      </c>
      <c r="H180" s="17">
        <f>IFERROR(VLOOKUP(F180,Hoja2!$K$2:$M$1198,3,FALSE),0)</f>
        <v>8433000</v>
      </c>
      <c r="I180" s="3" t="s">
        <v>7</v>
      </c>
      <c r="J180" s="3" t="s">
        <v>217</v>
      </c>
      <c r="K180" s="3" t="s">
        <v>219</v>
      </c>
      <c r="L180" s="12">
        <v>495040</v>
      </c>
      <c r="M180" s="11">
        <v>4264453</v>
      </c>
    </row>
    <row r="181" spans="1:13">
      <c r="A181" s="15">
        <v>46235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7">
        <f>IFERROR(VLOOKUP(F181,Hoja2!$K$2:$M$1198,2,FALSE),0)</f>
        <v>11001000</v>
      </c>
      <c r="H181" s="17">
        <f>IFERROR(VLOOKUP(F181,Hoja2!$K$2:$M$1198,3,FALSE),0)</f>
        <v>73001000</v>
      </c>
      <c r="I181" s="3" t="s">
        <v>7</v>
      </c>
      <c r="J181" s="3" t="s">
        <v>217</v>
      </c>
      <c r="K181" s="3" t="s">
        <v>219</v>
      </c>
      <c r="L181" s="12">
        <v>495040</v>
      </c>
      <c r="M181" s="11">
        <v>1023121</v>
      </c>
    </row>
    <row r="182" spans="1:13">
      <c r="A182" s="15">
        <v>46235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7">
        <f>IFERROR(VLOOKUP(F182,Hoja2!$K$2:$M$1198,2,FALSE),0)</f>
        <v>0</v>
      </c>
      <c r="H182" s="17">
        <f>IFERROR(VLOOKUP(F182,Hoja2!$K$2:$M$1198,3,FALSE),0)</f>
        <v>0</v>
      </c>
      <c r="I182" s="3" t="s">
        <v>7</v>
      </c>
      <c r="J182" s="3" t="s">
        <v>217</v>
      </c>
      <c r="K182" s="3" t="s">
        <v>219</v>
      </c>
      <c r="L182" s="12">
        <v>606016</v>
      </c>
      <c r="M182" s="11">
        <v>1807893</v>
      </c>
    </row>
    <row r="183" spans="1:13">
      <c r="A183" s="15">
        <v>46235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7">
        <f>IFERROR(VLOOKUP(F183,Hoja2!$K$2:$M$1198,2,FALSE),0)</f>
        <v>15238000</v>
      </c>
      <c r="H183" s="17">
        <f>IFERROR(VLOOKUP(F183,Hoja2!$K$2:$M$1198,3,FALSE),0)</f>
        <v>5001000</v>
      </c>
      <c r="I183" s="3" t="s">
        <v>7</v>
      </c>
      <c r="J183" s="3" t="s">
        <v>217</v>
      </c>
      <c r="K183" s="3" t="s">
        <v>219</v>
      </c>
      <c r="L183" s="12">
        <v>462654</v>
      </c>
      <c r="M183" s="11">
        <v>2521769</v>
      </c>
    </row>
    <row r="184" spans="1:13">
      <c r="A184" s="15">
        <v>46235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7">
        <f>IFERROR(VLOOKUP(F184,Hoja2!$K$2:$M$1198,2,FALSE),0)</f>
        <v>68001000</v>
      </c>
      <c r="H184" s="17">
        <f>IFERROR(VLOOKUP(F184,Hoja2!$K$2:$M$1198,3,FALSE),0)</f>
        <v>41001000</v>
      </c>
      <c r="I184" s="3" t="s">
        <v>7</v>
      </c>
      <c r="J184" s="3" t="s">
        <v>217</v>
      </c>
      <c r="K184" s="3" t="s">
        <v>219</v>
      </c>
      <c r="L184" s="12">
        <v>616420</v>
      </c>
      <c r="M184" s="11">
        <v>2974227</v>
      </c>
    </row>
    <row r="185" spans="1:13">
      <c r="A185" s="15">
        <v>46235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7">
        <f>IFERROR(VLOOKUP(F185,Hoja2!$K$2:$M$1198,2,FALSE),0)</f>
        <v>11001000</v>
      </c>
      <c r="H185" s="17">
        <f>IFERROR(VLOOKUP(F185,Hoja2!$K$2:$M$1198,3,FALSE),0)</f>
        <v>76364000</v>
      </c>
      <c r="I185" s="3" t="s">
        <v>7</v>
      </c>
      <c r="J185" s="3" t="s">
        <v>217</v>
      </c>
      <c r="K185" s="3" t="s">
        <v>219</v>
      </c>
      <c r="L185" s="12">
        <v>548618</v>
      </c>
      <c r="M185" s="11">
        <v>2102802</v>
      </c>
    </row>
    <row r="186" spans="1:13">
      <c r="A186" s="15">
        <v>46235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7">
        <f>IFERROR(VLOOKUP(F186,Hoja2!$K$2:$M$1198,2,FALSE),0)</f>
        <v>8433000</v>
      </c>
      <c r="H186" s="17">
        <f>IFERROR(VLOOKUP(F186,Hoja2!$K$2:$M$1198,3,FALSE),0)</f>
        <v>66170000</v>
      </c>
      <c r="I186" s="3" t="s">
        <v>7</v>
      </c>
      <c r="J186" s="3" t="s">
        <v>217</v>
      </c>
      <c r="K186" s="3" t="s">
        <v>219</v>
      </c>
      <c r="L186" s="12">
        <v>619420</v>
      </c>
      <c r="M186" s="11">
        <v>3995147</v>
      </c>
    </row>
    <row r="187" spans="1:13">
      <c r="A187" s="15">
        <v>46235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7">
        <f>IFERROR(VLOOKUP(F187,Hoja2!$K$2:$M$1198,2,FALSE),0)</f>
        <v>76892000</v>
      </c>
      <c r="H187" s="17">
        <f>IFERROR(VLOOKUP(F187,Hoja2!$K$2:$M$1198,3,FALSE),0)</f>
        <v>66170000</v>
      </c>
      <c r="I187" s="3" t="s">
        <v>7</v>
      </c>
      <c r="J187" s="3" t="s">
        <v>217</v>
      </c>
      <c r="K187" s="3" t="s">
        <v>219</v>
      </c>
      <c r="L187" s="12">
        <v>619420</v>
      </c>
      <c r="M187" s="11">
        <v>1066120</v>
      </c>
    </row>
    <row r="188" spans="1:13">
      <c r="A188" s="15">
        <v>46235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7">
        <f>IFERROR(VLOOKUP(F188,Hoja2!$K$2:$M$1198,2,FALSE),0)</f>
        <v>19142000</v>
      </c>
      <c r="H188" s="17">
        <f>IFERROR(VLOOKUP(F188,Hoja2!$K$2:$M$1198,3,FALSE),0)</f>
        <v>13001000</v>
      </c>
      <c r="I188" s="3" t="s">
        <v>7</v>
      </c>
      <c r="J188" s="3" t="s">
        <v>217</v>
      </c>
      <c r="K188" s="3" t="s">
        <v>219</v>
      </c>
      <c r="L188" s="12">
        <v>574770</v>
      </c>
      <c r="M188" s="11">
        <v>5116930</v>
      </c>
    </row>
    <row r="189" spans="1:13">
      <c r="A189" s="15">
        <v>46235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7">
        <f>IFERROR(VLOOKUP(F189,Hoja2!$K$2:$M$1198,2,FALSE),0)</f>
        <v>13001000</v>
      </c>
      <c r="H189" s="17">
        <f>IFERROR(VLOOKUP(F189,Hoja2!$K$2:$M$1198,3,FALSE),0)</f>
        <v>11001000</v>
      </c>
      <c r="I189" s="3" t="s">
        <v>7</v>
      </c>
      <c r="J189" s="3" t="s">
        <v>217</v>
      </c>
      <c r="K189" s="3" t="s">
        <v>219</v>
      </c>
      <c r="L189" s="12">
        <v>598823</v>
      </c>
      <c r="M189" s="11">
        <v>4483888</v>
      </c>
    </row>
    <row r="190" spans="1:13">
      <c r="A190" s="15">
        <v>46235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7">
        <f>IFERROR(VLOOKUP(F190,Hoja2!$K$2:$M$1198,2,FALSE),0)</f>
        <v>11001000</v>
      </c>
      <c r="H190" s="17">
        <f>IFERROR(VLOOKUP(F190,Hoja2!$K$2:$M$1198,3,FALSE),0)</f>
        <v>18001000</v>
      </c>
      <c r="I190" s="3" t="s">
        <v>7</v>
      </c>
      <c r="J190" s="3" t="s">
        <v>217</v>
      </c>
      <c r="K190" s="3" t="s">
        <v>219</v>
      </c>
      <c r="L190" s="12">
        <v>710088</v>
      </c>
      <c r="M190" s="11">
        <v>2578264</v>
      </c>
    </row>
    <row r="191" spans="1:13">
      <c r="A191" s="15">
        <v>46235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7">
        <f>IFERROR(VLOOKUP(F191,Hoja2!$K$2:$M$1198,2,FALSE),0)</f>
        <v>25799000</v>
      </c>
      <c r="H191" s="17">
        <f>IFERROR(VLOOKUP(F191,Hoja2!$K$2:$M$1198,3,FALSE),0)</f>
        <v>41001000</v>
      </c>
      <c r="I191" s="3" t="s">
        <v>7</v>
      </c>
      <c r="J191" s="3" t="s">
        <v>217</v>
      </c>
      <c r="K191" s="3" t="s">
        <v>219</v>
      </c>
      <c r="L191" s="12">
        <v>616420</v>
      </c>
      <c r="M191" s="11">
        <v>1728471</v>
      </c>
    </row>
    <row r="192" spans="1:13">
      <c r="A192" s="15">
        <v>46235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7">
        <f>IFERROR(VLOOKUP(F192,Hoja2!$K$2:$M$1198,2,FALSE),0)</f>
        <v>15238000</v>
      </c>
      <c r="H192" s="17">
        <f>IFERROR(VLOOKUP(F192,Hoja2!$K$2:$M$1198,3,FALSE),0)</f>
        <v>20001000</v>
      </c>
      <c r="I192" s="3" t="s">
        <v>7</v>
      </c>
      <c r="J192" s="3" t="s">
        <v>217</v>
      </c>
      <c r="K192" s="3" t="s">
        <v>219</v>
      </c>
      <c r="L192" s="12">
        <v>522005</v>
      </c>
      <c r="M192" s="11">
        <v>3163696</v>
      </c>
    </row>
    <row r="193" spans="1:13">
      <c r="A193" s="15">
        <v>46235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7">
        <f>IFERROR(VLOOKUP(F193,Hoja2!$K$2:$M$1198,2,FALSE),0)</f>
        <v>15238000</v>
      </c>
      <c r="H193" s="17">
        <f>IFERROR(VLOOKUP(F193,Hoja2!$K$2:$M$1198,3,FALSE),0)</f>
        <v>25799000</v>
      </c>
      <c r="I193" s="3" t="s">
        <v>7</v>
      </c>
      <c r="J193" s="3" t="s">
        <v>217</v>
      </c>
      <c r="K193" s="3" t="s">
        <v>219</v>
      </c>
      <c r="L193" s="12">
        <v>493969</v>
      </c>
      <c r="M193" s="11">
        <v>1082326</v>
      </c>
    </row>
    <row r="194" spans="1:13">
      <c r="A194" s="15">
        <v>46235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7">
        <f>IFERROR(VLOOKUP(F194,Hoja2!$K$2:$M$1198,2,FALSE),0)</f>
        <v>76892000</v>
      </c>
      <c r="H194" s="17">
        <f>IFERROR(VLOOKUP(F194,Hoja2!$K$2:$M$1198,3,FALSE),0)</f>
        <v>76109000</v>
      </c>
      <c r="I194" s="3" t="s">
        <v>7</v>
      </c>
      <c r="J194" s="3" t="s">
        <v>217</v>
      </c>
      <c r="K194" s="3" t="s">
        <v>219</v>
      </c>
      <c r="L194" s="12">
        <v>788290</v>
      </c>
      <c r="M194" s="11">
        <v>894881</v>
      </c>
    </row>
    <row r="195" spans="1:13">
      <c r="A195" s="15">
        <v>46235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7">
        <f>IFERROR(VLOOKUP(F195,Hoja2!$K$2:$M$1198,2,FALSE),0)</f>
        <v>8433000</v>
      </c>
      <c r="H195" s="17">
        <f>IFERROR(VLOOKUP(F195,Hoja2!$K$2:$M$1198,3,FALSE),0)</f>
        <v>11001000</v>
      </c>
      <c r="I195" s="3" t="s">
        <v>7</v>
      </c>
      <c r="J195" s="3" t="s">
        <v>217</v>
      </c>
      <c r="K195" s="3" t="s">
        <v>219</v>
      </c>
      <c r="L195" s="12">
        <v>518820</v>
      </c>
      <c r="M195" s="11">
        <v>4286895</v>
      </c>
    </row>
    <row r="196" spans="1:13">
      <c r="A196" s="15">
        <v>46235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7">
        <f>IFERROR(VLOOKUP(F196,Hoja2!$K$2:$M$1198,2,FALSE),0)</f>
        <v>50001000</v>
      </c>
      <c r="H196" s="17">
        <f>IFERROR(VLOOKUP(F196,Hoja2!$K$2:$M$1198,3,FALSE),0)</f>
        <v>41001000</v>
      </c>
      <c r="I196" s="3" t="s">
        <v>7</v>
      </c>
      <c r="J196" s="3" t="s">
        <v>217</v>
      </c>
      <c r="K196" s="3" t="s">
        <v>219</v>
      </c>
      <c r="L196" s="12">
        <v>643671</v>
      </c>
      <c r="M196" s="11">
        <v>1899668</v>
      </c>
    </row>
    <row r="197" spans="1:13">
      <c r="A197" s="15">
        <v>46235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7">
        <f>IFERROR(VLOOKUP(F197,Hoja2!$K$2:$M$1198,2,FALSE),0)</f>
        <v>13001000</v>
      </c>
      <c r="H197" s="17">
        <f>IFERROR(VLOOKUP(F197,Hoja2!$K$2:$M$1198,3,FALSE),0)</f>
        <v>66001000</v>
      </c>
      <c r="I197" s="3" t="s">
        <v>7</v>
      </c>
      <c r="J197" s="3" t="s">
        <v>217</v>
      </c>
      <c r="K197" s="3" t="s">
        <v>219</v>
      </c>
      <c r="L197" s="12">
        <v>675350</v>
      </c>
      <c r="M197" s="11">
        <v>4053577</v>
      </c>
    </row>
    <row r="198" spans="1:13">
      <c r="A198" s="15">
        <v>46235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7">
        <f>IFERROR(VLOOKUP(F198,Hoja2!$K$2:$M$1198,2,FALSE),0)</f>
        <v>68001000</v>
      </c>
      <c r="H198" s="17">
        <f>IFERROR(VLOOKUP(F198,Hoja2!$K$2:$M$1198,3,FALSE),0)</f>
        <v>23001000</v>
      </c>
      <c r="I198" s="3" t="s">
        <v>7</v>
      </c>
      <c r="J198" s="3" t="s">
        <v>217</v>
      </c>
      <c r="K198" s="3" t="s">
        <v>219</v>
      </c>
      <c r="L198" s="12">
        <v>534310</v>
      </c>
      <c r="M198" s="11">
        <v>3086136</v>
      </c>
    </row>
    <row r="199" spans="1:13">
      <c r="A199" s="15">
        <v>46235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7">
        <f>IFERROR(VLOOKUP(F199,Hoja2!$K$2:$M$1198,2,FALSE),0)</f>
        <v>11001000</v>
      </c>
      <c r="H199" s="17">
        <f>IFERROR(VLOOKUP(F199,Hoja2!$K$2:$M$1198,3,FALSE),0)</f>
        <v>70001000</v>
      </c>
      <c r="I199" s="3" t="s">
        <v>7</v>
      </c>
      <c r="J199" s="3" t="s">
        <v>217</v>
      </c>
      <c r="K199" s="3" t="s">
        <v>219</v>
      </c>
      <c r="L199" s="12">
        <v>781691</v>
      </c>
      <c r="M199" s="11">
        <v>3917846</v>
      </c>
    </row>
    <row r="200" spans="1:13">
      <c r="A200" s="15">
        <v>46235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7">
        <f>IFERROR(VLOOKUP(F200,Hoja2!$K$2:$M$1198,2,FALSE),0)</f>
        <v>11001000</v>
      </c>
      <c r="H200" s="17">
        <f>IFERROR(VLOOKUP(F200,Hoja2!$K$2:$M$1198,3,FALSE),0)</f>
        <v>20001000</v>
      </c>
      <c r="I200" s="3" t="s">
        <v>7</v>
      </c>
      <c r="J200" s="3" t="s">
        <v>217</v>
      </c>
      <c r="K200" s="3" t="s">
        <v>219</v>
      </c>
      <c r="L200" s="12">
        <v>546856</v>
      </c>
      <c r="M200" s="11">
        <v>3929251</v>
      </c>
    </row>
    <row r="201" spans="1:13">
      <c r="A201" s="15">
        <v>46235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7">
        <f>IFERROR(VLOOKUP(F201,Hoja2!$K$2:$M$1198,2,FALSE),0)</f>
        <v>76892000</v>
      </c>
      <c r="H201" s="17">
        <f>IFERROR(VLOOKUP(F201,Hoja2!$K$2:$M$1198,3,FALSE),0)</f>
        <v>85001000</v>
      </c>
      <c r="I201" s="3" t="s">
        <v>7</v>
      </c>
      <c r="J201" s="3" t="s">
        <v>217</v>
      </c>
      <c r="K201" s="3" t="s">
        <v>219</v>
      </c>
      <c r="L201" s="12">
        <v>546091</v>
      </c>
      <c r="M201" s="11">
        <v>3743296</v>
      </c>
    </row>
    <row r="202" spans="1:13">
      <c r="A202" s="15">
        <v>46235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7">
        <f>IFERROR(VLOOKUP(F202,Hoja2!$K$2:$M$1198,2,FALSE),0)</f>
        <v>68001000</v>
      </c>
      <c r="H202" s="17">
        <f>IFERROR(VLOOKUP(F202,Hoja2!$K$2:$M$1198,3,FALSE),0)</f>
        <v>50001000</v>
      </c>
      <c r="I202" s="3" t="s">
        <v>7</v>
      </c>
      <c r="J202" s="3" t="s">
        <v>217</v>
      </c>
      <c r="K202" s="3" t="s">
        <v>219</v>
      </c>
      <c r="L202" s="12">
        <v>559148</v>
      </c>
      <c r="M202" s="11">
        <v>2403459</v>
      </c>
    </row>
    <row r="203" spans="1:13">
      <c r="A203" s="15">
        <v>46235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7">
        <f>IFERROR(VLOOKUP(F203,Hoja2!$K$2:$M$1198,2,FALSE),0)</f>
        <v>15238000</v>
      </c>
      <c r="H203" s="17">
        <f>IFERROR(VLOOKUP(F203,Hoja2!$K$2:$M$1198,3,FALSE),0)</f>
        <v>73001000</v>
      </c>
      <c r="I203" s="3" t="s">
        <v>7</v>
      </c>
      <c r="J203" s="3" t="s">
        <v>217</v>
      </c>
      <c r="K203" s="3" t="s">
        <v>219</v>
      </c>
      <c r="L203" s="12">
        <v>493969</v>
      </c>
      <c r="M203" s="11">
        <v>1640983</v>
      </c>
    </row>
    <row r="204" spans="1:13">
      <c r="A204" s="15">
        <v>46235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7">
        <f>IFERROR(VLOOKUP(F204,Hoja2!$K$2:$M$1198,2,FALSE),0)</f>
        <v>76892000</v>
      </c>
      <c r="H204" s="17">
        <f>IFERROR(VLOOKUP(F204,Hoja2!$K$2:$M$1198,3,FALSE),0)</f>
        <v>76364000</v>
      </c>
      <c r="I204" s="3" t="s">
        <v>7</v>
      </c>
      <c r="J204" s="3" t="s">
        <v>217</v>
      </c>
      <c r="K204" s="3" t="s">
        <v>219</v>
      </c>
      <c r="L204" s="12">
        <v>572418</v>
      </c>
      <c r="M204" s="11">
        <v>370379</v>
      </c>
    </row>
    <row r="205" spans="1:13">
      <c r="A205" s="15">
        <v>46235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7">
        <f>IFERROR(VLOOKUP(F205,Hoja2!$K$2:$M$1198,2,FALSE),0)</f>
        <v>76892000</v>
      </c>
      <c r="H205" s="17">
        <f>IFERROR(VLOOKUP(F205,Hoja2!$K$2:$M$1198,3,FALSE),0)</f>
        <v>63001000</v>
      </c>
      <c r="I205" s="3" t="s">
        <v>7</v>
      </c>
      <c r="J205" s="3" t="s">
        <v>217</v>
      </c>
      <c r="K205" s="3" t="s">
        <v>219</v>
      </c>
      <c r="L205" s="12">
        <v>747567</v>
      </c>
      <c r="M205" s="11">
        <v>977414</v>
      </c>
    </row>
    <row r="206" spans="1:13">
      <c r="A206" s="15">
        <v>46235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7">
        <f>IFERROR(VLOOKUP(F206,Hoja2!$K$2:$M$1198,2,FALSE),0)</f>
        <v>8433000</v>
      </c>
      <c r="H206" s="17">
        <f>IFERROR(VLOOKUP(F206,Hoja2!$K$2:$M$1198,3,FALSE),0)</f>
        <v>73001000</v>
      </c>
      <c r="I206" s="3" t="s">
        <v>7</v>
      </c>
      <c r="J206" s="3" t="s">
        <v>217</v>
      </c>
      <c r="K206" s="3" t="s">
        <v>219</v>
      </c>
      <c r="L206" s="12">
        <v>518840</v>
      </c>
      <c r="M206" s="11">
        <v>4249492</v>
      </c>
    </row>
    <row r="207" spans="1:13">
      <c r="A207" s="15">
        <v>46235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7">
        <f>IFERROR(VLOOKUP(F207,Hoja2!$K$2:$M$1198,2,FALSE),0)</f>
        <v>19142000</v>
      </c>
      <c r="H207" s="17">
        <f>IFERROR(VLOOKUP(F207,Hoja2!$K$2:$M$1198,3,FALSE),0)</f>
        <v>76892000</v>
      </c>
      <c r="I207" s="3" t="s">
        <v>7</v>
      </c>
      <c r="J207" s="3" t="s">
        <v>217</v>
      </c>
      <c r="K207" s="3" t="s">
        <v>219</v>
      </c>
      <c r="L207" s="12">
        <v>518840</v>
      </c>
      <c r="M207" s="11">
        <v>658632</v>
      </c>
    </row>
    <row r="208" spans="1:13">
      <c r="A208" s="15">
        <v>46235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7">
        <f>IFERROR(VLOOKUP(F208,Hoja2!$K$2:$M$1198,2,FALSE),0)</f>
        <v>5001000</v>
      </c>
      <c r="H208" s="17">
        <f>IFERROR(VLOOKUP(F208,Hoja2!$K$2:$M$1198,3,FALSE),0)</f>
        <v>20001000</v>
      </c>
      <c r="I208" s="3" t="s">
        <v>7</v>
      </c>
      <c r="J208" s="3" t="s">
        <v>217</v>
      </c>
      <c r="K208" s="3" t="s">
        <v>219</v>
      </c>
      <c r="L208" s="12">
        <v>546876</v>
      </c>
      <c r="M208" s="11">
        <v>3034030</v>
      </c>
    </row>
    <row r="209" spans="1:13">
      <c r="A209" s="15">
        <v>46235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7">
        <f>IFERROR(VLOOKUP(F209,Hoja2!$K$2:$M$1198,2,FALSE),0)</f>
        <v>15238000</v>
      </c>
      <c r="H209" s="17">
        <f>IFERROR(VLOOKUP(F209,Hoja2!$K$2:$M$1198,3,FALSE),0)</f>
        <v>11001000</v>
      </c>
      <c r="I209" s="3" t="s">
        <v>7</v>
      </c>
      <c r="J209" s="3" t="s">
        <v>217</v>
      </c>
      <c r="K209" s="3" t="s">
        <v>219</v>
      </c>
      <c r="L209" s="12">
        <v>494976</v>
      </c>
      <c r="M209" s="11">
        <v>1048972</v>
      </c>
    </row>
    <row r="210" spans="1:13">
      <c r="A210" s="15">
        <v>46235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7">
        <f>IFERROR(VLOOKUP(F210,Hoja2!$K$2:$M$1198,2,FALSE),0)</f>
        <v>76892000</v>
      </c>
      <c r="H210" s="17">
        <f>IFERROR(VLOOKUP(F210,Hoja2!$K$2:$M$1198,3,FALSE),0)</f>
        <v>15238000</v>
      </c>
      <c r="I210" s="3" t="s">
        <v>7</v>
      </c>
      <c r="J210" s="3" t="s">
        <v>217</v>
      </c>
      <c r="K210" s="3" t="s">
        <v>219</v>
      </c>
      <c r="L210" s="12">
        <v>493969</v>
      </c>
      <c r="M210" s="11">
        <v>2832051</v>
      </c>
    </row>
    <row r="211" spans="1:13">
      <c r="A211" s="15">
        <v>46235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7">
        <f>IFERROR(VLOOKUP(F211,Hoja2!$K$2:$M$1198,2,FALSE),0)</f>
        <v>19142000</v>
      </c>
      <c r="H211" s="17">
        <f>IFERROR(VLOOKUP(F211,Hoja2!$K$2:$M$1198,3,FALSE),0)</f>
        <v>68081000</v>
      </c>
      <c r="I211" s="3" t="s">
        <v>7</v>
      </c>
      <c r="J211" s="3" t="s">
        <v>217</v>
      </c>
      <c r="K211" s="3" t="s">
        <v>219</v>
      </c>
      <c r="L211" s="12">
        <v>656101</v>
      </c>
      <c r="M211" s="11">
        <v>3091383</v>
      </c>
    </row>
    <row r="212" spans="1:13">
      <c r="A212" s="15">
        <v>46235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7">
        <f>IFERROR(VLOOKUP(F212,Hoja2!$K$2:$M$1198,2,FALSE),0)</f>
        <v>15238000</v>
      </c>
      <c r="H212" s="17">
        <f>IFERROR(VLOOKUP(F212,Hoja2!$K$2:$M$1198,3,FALSE),0)</f>
        <v>11001000</v>
      </c>
      <c r="I212" s="3" t="s">
        <v>7</v>
      </c>
      <c r="J212" s="3" t="s">
        <v>217</v>
      </c>
      <c r="K212" s="3" t="s">
        <v>219</v>
      </c>
      <c r="L212" s="12">
        <v>494976</v>
      </c>
      <c r="M212" s="11">
        <v>1063789</v>
      </c>
    </row>
    <row r="213" spans="1:13">
      <c r="A213" s="15">
        <v>46235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7">
        <f>IFERROR(VLOOKUP(F213,Hoja2!$K$2:$M$1198,2,FALSE),0)</f>
        <v>25799000</v>
      </c>
      <c r="H213" s="17">
        <f>IFERROR(VLOOKUP(F213,Hoja2!$K$2:$M$1198,3,FALSE),0)</f>
        <v>15001000</v>
      </c>
      <c r="I213" s="3" t="s">
        <v>7</v>
      </c>
      <c r="J213" s="3" t="s">
        <v>217</v>
      </c>
      <c r="K213" s="3" t="s">
        <v>219</v>
      </c>
      <c r="L213" s="12">
        <v>517650</v>
      </c>
      <c r="M213" s="11">
        <v>912488</v>
      </c>
    </row>
    <row r="214" spans="1:13">
      <c r="A214" s="15">
        <v>46235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7">
        <f>IFERROR(VLOOKUP(F214,Hoja2!$K$2:$M$1198,2,FALSE),0)</f>
        <v>5088000</v>
      </c>
      <c r="H214" s="17">
        <f>IFERROR(VLOOKUP(F214,Hoja2!$K$2:$M$1198,3,FALSE),0)</f>
        <v>5360000</v>
      </c>
      <c r="I214" s="3" t="s">
        <v>7</v>
      </c>
      <c r="J214" s="3" t="s">
        <v>217</v>
      </c>
      <c r="K214" s="3" t="s">
        <v>219</v>
      </c>
      <c r="L214" s="12">
        <v>518840</v>
      </c>
      <c r="M214" s="11">
        <v>548379</v>
      </c>
    </row>
    <row r="215" spans="1:13">
      <c r="A215" s="15">
        <v>46235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7">
        <f>IFERROR(VLOOKUP(F215,Hoja2!$K$2:$M$1198,2,FALSE),0)</f>
        <v>25799000</v>
      </c>
      <c r="H215" s="17">
        <f>IFERROR(VLOOKUP(F215,Hoja2!$K$2:$M$1198,3,FALSE),0)</f>
        <v>50001000</v>
      </c>
      <c r="I215" s="3" t="s">
        <v>7</v>
      </c>
      <c r="J215" s="3" t="s">
        <v>217</v>
      </c>
      <c r="K215" s="3" t="s">
        <v>219</v>
      </c>
      <c r="L215" s="12">
        <v>546091</v>
      </c>
      <c r="M215" s="11">
        <v>1111267</v>
      </c>
    </row>
    <row r="216" spans="1:13">
      <c r="A216" s="15">
        <v>46235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7">
        <f>IFERROR(VLOOKUP(F216,Hoja2!$K$2:$M$1198,2,FALSE),0)</f>
        <v>11001000</v>
      </c>
      <c r="H216" s="17">
        <f>IFERROR(VLOOKUP(F216,Hoja2!$K$2:$M$1198,3,FALSE),0)</f>
        <v>5088000</v>
      </c>
      <c r="I216" s="3" t="s">
        <v>7</v>
      </c>
      <c r="J216" s="3" t="s">
        <v>217</v>
      </c>
      <c r="K216" s="3" t="s">
        <v>219</v>
      </c>
      <c r="L216" s="12">
        <v>544667</v>
      </c>
      <c r="M216" s="11">
        <v>1931494</v>
      </c>
    </row>
    <row r="217" spans="1:13">
      <c r="A217" s="15">
        <v>46235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7">
        <f>IFERROR(VLOOKUP(F217,Hoja2!$K$2:$M$1198,2,FALSE),0)</f>
        <v>8433000</v>
      </c>
      <c r="H217" s="17">
        <f>IFERROR(VLOOKUP(F217,Hoja2!$K$2:$M$1198,3,FALSE),0)</f>
        <v>44279000</v>
      </c>
      <c r="I217" s="3" t="s">
        <v>7</v>
      </c>
      <c r="J217" s="3" t="s">
        <v>217</v>
      </c>
      <c r="K217" s="3" t="s">
        <v>219</v>
      </c>
      <c r="L217" s="12">
        <v>1130470</v>
      </c>
      <c r="M217" s="11">
        <v>1787629</v>
      </c>
    </row>
    <row r="218" spans="1:13">
      <c r="A218" s="15">
        <v>46235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7">
        <f>IFERROR(VLOOKUP(F218,Hoja2!$K$2:$M$1198,2,FALSE),0)</f>
        <v>76892000</v>
      </c>
      <c r="H218" s="17">
        <f>IFERROR(VLOOKUP(F218,Hoja2!$K$2:$M$1198,3,FALSE),0)</f>
        <v>15001000</v>
      </c>
      <c r="I218" s="3" t="s">
        <v>7</v>
      </c>
      <c r="J218" s="3" t="s">
        <v>217</v>
      </c>
      <c r="K218" s="3" t="s">
        <v>219</v>
      </c>
      <c r="L218" s="12">
        <v>517650</v>
      </c>
      <c r="M218" s="11">
        <v>2707372</v>
      </c>
    </row>
    <row r="219" spans="1:13">
      <c r="A219" s="15">
        <v>46235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7">
        <f>IFERROR(VLOOKUP(F219,Hoja2!$K$2:$M$1198,2,FALSE),0)</f>
        <v>5088000</v>
      </c>
      <c r="H219" s="17">
        <f>IFERROR(VLOOKUP(F219,Hoja2!$K$2:$M$1198,3,FALSE),0)</f>
        <v>5615000</v>
      </c>
      <c r="I219" s="3" t="s">
        <v>7</v>
      </c>
      <c r="J219" s="3" t="s">
        <v>217</v>
      </c>
      <c r="K219" s="3" t="s">
        <v>219</v>
      </c>
      <c r="L219" s="12">
        <v>487525</v>
      </c>
      <c r="M219" s="11">
        <v>597357</v>
      </c>
    </row>
    <row r="220" spans="1:13">
      <c r="A220" s="15">
        <v>46235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7">
        <f>IFERROR(VLOOKUP(F220,Hoja2!$K$2:$M$1198,2,FALSE),0)</f>
        <v>50001000</v>
      </c>
      <c r="H220" s="17">
        <f>IFERROR(VLOOKUP(F220,Hoja2!$K$2:$M$1198,3,FALSE),0)</f>
        <v>8433000</v>
      </c>
      <c r="I220" s="3" t="s">
        <v>7</v>
      </c>
      <c r="J220" s="3" t="s">
        <v>217</v>
      </c>
      <c r="K220" s="3" t="s">
        <v>219</v>
      </c>
      <c r="L220" s="12">
        <v>568208</v>
      </c>
      <c r="M220" s="11">
        <v>4408730</v>
      </c>
    </row>
    <row r="221" spans="1:13">
      <c r="A221" s="15">
        <v>46235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7">
        <f>IFERROR(VLOOKUP(F221,Hoja2!$K$2:$M$1198,2,FALSE),0)</f>
        <v>19142000</v>
      </c>
      <c r="H221" s="17">
        <f>IFERROR(VLOOKUP(F221,Hoja2!$K$2:$M$1198,3,FALSE),0)</f>
        <v>76111000</v>
      </c>
      <c r="I221" s="3" t="s">
        <v>7</v>
      </c>
      <c r="J221" s="3" t="s">
        <v>217</v>
      </c>
      <c r="K221" s="3" t="s">
        <v>219</v>
      </c>
      <c r="L221" s="12">
        <v>694139</v>
      </c>
      <c r="M221" s="11">
        <v>762604</v>
      </c>
    </row>
    <row r="222" spans="1:13">
      <c r="A222" s="15">
        <v>46235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7">
        <f>IFERROR(VLOOKUP(F222,Hoja2!$K$2:$M$1198,2,FALSE),0)</f>
        <v>8433000</v>
      </c>
      <c r="H222" s="17">
        <f>IFERROR(VLOOKUP(F222,Hoja2!$K$2:$M$1198,3,FALSE),0)</f>
        <v>25799000</v>
      </c>
      <c r="I222" s="3" t="s">
        <v>7</v>
      </c>
      <c r="J222" s="3" t="s">
        <v>217</v>
      </c>
      <c r="K222" s="3" t="s">
        <v>219</v>
      </c>
      <c r="L222" s="12">
        <v>518840</v>
      </c>
      <c r="M222" s="11">
        <v>4237647</v>
      </c>
    </row>
    <row r="223" spans="1:13">
      <c r="A223" s="15">
        <v>46235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7">
        <f>IFERROR(VLOOKUP(F223,Hoja2!$K$2:$M$1198,2,FALSE),0)</f>
        <v>66001000</v>
      </c>
      <c r="H223" s="17">
        <f>IFERROR(VLOOKUP(F223,Hoja2!$K$2:$M$1198,3,FALSE),0)</f>
        <v>41001000</v>
      </c>
      <c r="I223" s="3" t="s">
        <v>7</v>
      </c>
      <c r="J223" s="3" t="s">
        <v>217</v>
      </c>
      <c r="K223" s="3" t="s">
        <v>219</v>
      </c>
      <c r="L223" s="12">
        <v>717000</v>
      </c>
      <c r="M223" s="11">
        <v>1410496</v>
      </c>
    </row>
    <row r="224" spans="1:13">
      <c r="A224" s="15">
        <v>46235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7">
        <f>IFERROR(VLOOKUP(F224,Hoja2!$K$2:$M$1198,2,FALSE),0)</f>
        <v>68001000</v>
      </c>
      <c r="H224" s="17">
        <f>IFERROR(VLOOKUP(F224,Hoja2!$K$2:$M$1198,3,FALSE),0)</f>
        <v>15238000</v>
      </c>
      <c r="I224" s="3" t="s">
        <v>7</v>
      </c>
      <c r="J224" s="3" t="s">
        <v>217</v>
      </c>
      <c r="K224" s="3" t="s">
        <v>219</v>
      </c>
      <c r="L224" s="12">
        <v>546091</v>
      </c>
      <c r="M224" s="11">
        <v>1499933</v>
      </c>
    </row>
    <row r="225" spans="1:13">
      <c r="A225" s="15">
        <v>46235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7">
        <f>IFERROR(VLOOKUP(F225,Hoja2!$K$2:$M$1198,2,FALSE),0)</f>
        <v>5001000</v>
      </c>
      <c r="H225" s="17">
        <f>IFERROR(VLOOKUP(F225,Hoja2!$K$2:$M$1198,3,FALSE),0)</f>
        <v>5172000</v>
      </c>
      <c r="I225" s="3" t="s">
        <v>7</v>
      </c>
      <c r="J225" s="3" t="s">
        <v>217</v>
      </c>
      <c r="K225" s="3" t="s">
        <v>219</v>
      </c>
      <c r="L225" s="12">
        <v>639403</v>
      </c>
      <c r="M225" s="11">
        <v>1594003</v>
      </c>
    </row>
    <row r="226" spans="1:13">
      <c r="A226" s="15">
        <v>46235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7">
        <f>IFERROR(VLOOKUP(F226,Hoja2!$K$2:$M$1198,2,FALSE),0)</f>
        <v>76892000</v>
      </c>
      <c r="H226" s="17">
        <f>IFERROR(VLOOKUP(F226,Hoja2!$K$2:$M$1198,3,FALSE),0)</f>
        <v>20001000</v>
      </c>
      <c r="I226" s="3" t="s">
        <v>7</v>
      </c>
      <c r="J226" s="3" t="s">
        <v>217</v>
      </c>
      <c r="K226" s="3" t="s">
        <v>219</v>
      </c>
      <c r="L226" s="12">
        <v>546876</v>
      </c>
      <c r="M226" s="11">
        <v>4158382</v>
      </c>
    </row>
    <row r="227" spans="1:13">
      <c r="A227" s="15">
        <v>46235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7">
        <f>IFERROR(VLOOKUP(F227,Hoja2!$K$2:$M$1198,2,FALSE),0)</f>
        <v>68001000</v>
      </c>
      <c r="H227" s="17">
        <f>IFERROR(VLOOKUP(F227,Hoja2!$K$2:$M$1198,3,FALSE),0)</f>
        <v>76892000</v>
      </c>
      <c r="I227" s="3" t="s">
        <v>7</v>
      </c>
      <c r="J227" s="3" t="s">
        <v>217</v>
      </c>
      <c r="K227" s="3" t="s">
        <v>219</v>
      </c>
      <c r="L227" s="12">
        <v>518840</v>
      </c>
      <c r="M227" s="11">
        <v>3204444</v>
      </c>
    </row>
    <row r="228" spans="1:13">
      <c r="A228" s="15">
        <v>46235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7">
        <f>IFERROR(VLOOKUP(F228,Hoja2!$K$2:$M$1198,2,FALSE),0)</f>
        <v>8433000</v>
      </c>
      <c r="H228" s="17">
        <f>IFERROR(VLOOKUP(F228,Hoja2!$K$2:$M$1198,3,FALSE),0)</f>
        <v>41001000</v>
      </c>
      <c r="I228" s="3" t="s">
        <v>7</v>
      </c>
      <c r="J228" s="3" t="s">
        <v>217</v>
      </c>
      <c r="K228" s="3" t="s">
        <v>219</v>
      </c>
      <c r="L228" s="12">
        <v>616420</v>
      </c>
      <c r="M228" s="11">
        <v>4321815</v>
      </c>
    </row>
    <row r="229" spans="1:13">
      <c r="A229" s="15">
        <v>46235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7">
        <f>IFERROR(VLOOKUP(F229,Hoja2!$K$2:$M$1198,2,FALSE),0)</f>
        <v>68547000</v>
      </c>
      <c r="H229" s="17">
        <f>IFERROR(VLOOKUP(F229,Hoja2!$K$2:$M$1198,3,FALSE),0)</f>
        <v>13001000</v>
      </c>
      <c r="I229" s="3" t="s">
        <v>7</v>
      </c>
      <c r="J229" s="3" t="s">
        <v>217</v>
      </c>
      <c r="K229" s="3" t="s">
        <v>219</v>
      </c>
      <c r="L229" s="12">
        <v>574770</v>
      </c>
      <c r="M229" s="11">
        <v>2968088</v>
      </c>
    </row>
    <row r="230" spans="1:13">
      <c r="A230" s="15">
        <v>46235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7">
        <f>IFERROR(VLOOKUP(F230,Hoja2!$K$2:$M$1198,2,FALSE),0)</f>
        <v>11001000</v>
      </c>
      <c r="H230" s="17">
        <f>IFERROR(VLOOKUP(F230,Hoja2!$K$2:$M$1198,3,FALSE),0)</f>
        <v>85001000</v>
      </c>
      <c r="I230" s="3" t="s">
        <v>7</v>
      </c>
      <c r="J230" s="3" t="s">
        <v>217</v>
      </c>
      <c r="K230" s="3" t="s">
        <v>219</v>
      </c>
      <c r="L230" s="12">
        <v>560511</v>
      </c>
      <c r="M230" s="11">
        <v>1821242</v>
      </c>
    </row>
    <row r="231" spans="1:13">
      <c r="A231" s="15">
        <v>46235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7">
        <f>IFERROR(VLOOKUP(F231,Hoja2!$K$2:$M$1198,2,FALSE),0)</f>
        <v>68547000</v>
      </c>
      <c r="H231" s="17">
        <f>IFERROR(VLOOKUP(F231,Hoja2!$K$2:$M$1198,3,FALSE),0)</f>
        <v>25430000</v>
      </c>
      <c r="I231" s="3" t="s">
        <v>7</v>
      </c>
      <c r="J231" s="3" t="s">
        <v>217</v>
      </c>
      <c r="K231" s="3" t="s">
        <v>219</v>
      </c>
      <c r="L231" s="12">
        <v>518840</v>
      </c>
      <c r="M231" s="11">
        <v>1884897</v>
      </c>
    </row>
    <row r="232" spans="1:13">
      <c r="A232" s="15">
        <v>46235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7">
        <f>IFERROR(VLOOKUP(F232,Hoja2!$K$2:$M$1198,2,FALSE),0)</f>
        <v>68547000</v>
      </c>
      <c r="H232" s="17">
        <f>IFERROR(VLOOKUP(F232,Hoja2!$K$2:$M$1198,3,FALSE),0)</f>
        <v>68081000</v>
      </c>
      <c r="I232" s="3" t="s">
        <v>7</v>
      </c>
      <c r="J232" s="3" t="s">
        <v>217</v>
      </c>
      <c r="K232" s="3" t="s">
        <v>219</v>
      </c>
      <c r="L232" s="12">
        <v>656101</v>
      </c>
      <c r="M232" s="11">
        <v>923595</v>
      </c>
    </row>
    <row r="233" spans="1:13">
      <c r="A233" s="15">
        <v>46235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7">
        <f>IFERROR(VLOOKUP(F233,Hoja2!$K$2:$M$1198,2,FALSE),0)</f>
        <v>8433000</v>
      </c>
      <c r="H233" s="17">
        <f>IFERROR(VLOOKUP(F233,Hoja2!$K$2:$M$1198,3,FALSE),0)</f>
        <v>15238000</v>
      </c>
      <c r="I233" s="3" t="s">
        <v>7</v>
      </c>
      <c r="J233" s="3" t="s">
        <v>217</v>
      </c>
      <c r="K233" s="3" t="s">
        <v>219</v>
      </c>
      <c r="L233" s="12">
        <v>493969</v>
      </c>
      <c r="M233" s="11">
        <v>4081392</v>
      </c>
    </row>
    <row r="234" spans="1:13">
      <c r="A234" s="15">
        <v>46235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7">
        <f>IFERROR(VLOOKUP(F234,Hoja2!$K$2:$M$1198,2,FALSE),0)</f>
        <v>19142000</v>
      </c>
      <c r="H234" s="17">
        <f>IFERROR(VLOOKUP(F234,Hoja2!$K$2:$M$1198,3,FALSE),0)</f>
        <v>47001000</v>
      </c>
      <c r="I234" s="3" t="s">
        <v>7</v>
      </c>
      <c r="J234" s="3" t="s">
        <v>217</v>
      </c>
      <c r="K234" s="3" t="s">
        <v>219</v>
      </c>
      <c r="L234" s="12">
        <v>518840</v>
      </c>
      <c r="M234" s="11">
        <v>4533516</v>
      </c>
    </row>
    <row r="235" spans="1:13">
      <c r="A235" s="15">
        <v>46235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7">
        <f>IFERROR(VLOOKUP(F235,Hoja2!$K$2:$M$1198,2,FALSE),0)</f>
        <v>11001000</v>
      </c>
      <c r="H235" s="17">
        <f>IFERROR(VLOOKUP(F235,Hoja2!$K$2:$M$1198,3,FALSE),0)</f>
        <v>68081000</v>
      </c>
      <c r="I235" s="3" t="s">
        <v>7</v>
      </c>
      <c r="J235" s="3" t="s">
        <v>217</v>
      </c>
      <c r="K235" s="3" t="s">
        <v>219</v>
      </c>
      <c r="L235" s="12">
        <v>683014</v>
      </c>
      <c r="M235" s="11">
        <v>1947552</v>
      </c>
    </row>
    <row r="236" spans="1:13">
      <c r="A236" s="15">
        <v>46235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7">
        <f>IFERROR(VLOOKUP(F236,Hoja2!$K$2:$M$1198,2,FALSE),0)</f>
        <v>19142000</v>
      </c>
      <c r="H236" s="17">
        <f>IFERROR(VLOOKUP(F236,Hoja2!$K$2:$M$1198,3,FALSE),0)</f>
        <v>20001000</v>
      </c>
      <c r="I236" s="3" t="s">
        <v>7</v>
      </c>
      <c r="J236" s="3" t="s">
        <v>217</v>
      </c>
      <c r="K236" s="3" t="s">
        <v>219</v>
      </c>
      <c r="L236" s="12">
        <v>546876</v>
      </c>
      <c r="M236" s="11">
        <v>4257554</v>
      </c>
    </row>
    <row r="237" spans="1:13">
      <c r="A237" s="15">
        <v>46235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7">
        <f>IFERROR(VLOOKUP(F237,Hoja2!$K$2:$M$1198,2,FALSE),0)</f>
        <v>11001000</v>
      </c>
      <c r="H237" s="17">
        <f>IFERROR(VLOOKUP(F237,Hoja2!$K$2:$M$1198,3,FALSE),0)</f>
        <v>5360000</v>
      </c>
      <c r="I237" s="3" t="s">
        <v>7</v>
      </c>
      <c r="J237" s="3" t="s">
        <v>217</v>
      </c>
      <c r="K237" s="3" t="s">
        <v>219</v>
      </c>
      <c r="L237" s="12">
        <v>544667</v>
      </c>
      <c r="M237" s="11">
        <v>1948949</v>
      </c>
    </row>
    <row r="238" spans="1:13">
      <c r="A238" s="15">
        <v>46235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7">
        <f>IFERROR(VLOOKUP(F238,Hoja2!$K$2:$M$1198,2,FALSE),0)</f>
        <v>68547000</v>
      </c>
      <c r="H238" s="17">
        <f>IFERROR(VLOOKUP(F238,Hoja2!$K$2:$M$1198,3,FALSE),0)</f>
        <v>5001000</v>
      </c>
      <c r="I238" s="3" t="s">
        <v>7</v>
      </c>
      <c r="J238" s="3" t="s">
        <v>217</v>
      </c>
      <c r="K238" s="3" t="s">
        <v>219</v>
      </c>
      <c r="L238" s="12">
        <v>518840</v>
      </c>
      <c r="M238" s="11">
        <v>1963108</v>
      </c>
    </row>
    <row r="239" spans="1:13">
      <c r="A239" s="15">
        <v>46235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7">
        <f>IFERROR(VLOOKUP(F239,Hoja2!$K$2:$M$1198,2,FALSE),0)</f>
        <v>68001000</v>
      </c>
      <c r="H239" s="17">
        <f>IFERROR(VLOOKUP(F239,Hoja2!$K$2:$M$1198,3,FALSE),0)</f>
        <v>66001000</v>
      </c>
      <c r="I239" s="3" t="s">
        <v>7</v>
      </c>
      <c r="J239" s="3" t="s">
        <v>217</v>
      </c>
      <c r="K239" s="3" t="s">
        <v>219</v>
      </c>
      <c r="L239" s="12">
        <v>619420</v>
      </c>
      <c r="M239" s="11">
        <v>2652513</v>
      </c>
    </row>
    <row r="240" spans="1:13">
      <c r="A240" s="15">
        <v>46235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7">
        <f>IFERROR(VLOOKUP(F240,Hoja2!$K$2:$M$1198,2,FALSE),0)</f>
        <v>11001000</v>
      </c>
      <c r="H240" s="17">
        <f>IFERROR(VLOOKUP(F240,Hoja2!$K$2:$M$1198,3,FALSE),0)</f>
        <v>50001000</v>
      </c>
      <c r="I240" s="3" t="s">
        <v>7</v>
      </c>
      <c r="J240" s="3" t="s">
        <v>217</v>
      </c>
      <c r="K240" s="3" t="s">
        <v>219</v>
      </c>
      <c r="L240" s="12">
        <v>618124</v>
      </c>
      <c r="M240" s="11">
        <v>860359</v>
      </c>
    </row>
    <row r="241" spans="1:13">
      <c r="A241" s="15">
        <v>46235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7">
        <f>IFERROR(VLOOKUP(F241,Hoja2!$K$2:$M$1198,2,FALSE),0)</f>
        <v>11001000</v>
      </c>
      <c r="H241" s="17">
        <f>IFERROR(VLOOKUP(F241,Hoja2!$K$2:$M$1198,3,FALSE),0)</f>
        <v>47001000</v>
      </c>
      <c r="I241" s="3" t="s">
        <v>7</v>
      </c>
      <c r="J241" s="3" t="s">
        <v>217</v>
      </c>
      <c r="K241" s="3" t="s">
        <v>219</v>
      </c>
      <c r="L241" s="12">
        <v>518820</v>
      </c>
      <c r="M241" s="11">
        <v>4174390</v>
      </c>
    </row>
    <row r="242" spans="1:13">
      <c r="A242" s="15">
        <v>46235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7">
        <f>IFERROR(VLOOKUP(F242,Hoja2!$K$2:$M$1198,2,FALSE),0)</f>
        <v>68001000</v>
      </c>
      <c r="H242" s="17">
        <f>IFERROR(VLOOKUP(F242,Hoja2!$K$2:$M$1198,3,FALSE),0)</f>
        <v>20001000</v>
      </c>
      <c r="I242" s="3" t="s">
        <v>7</v>
      </c>
      <c r="J242" s="3" t="s">
        <v>217</v>
      </c>
      <c r="K242" s="3" t="s">
        <v>219</v>
      </c>
      <c r="L242" s="12">
        <v>546876</v>
      </c>
      <c r="M242" s="11">
        <v>2072727</v>
      </c>
    </row>
    <row r="243" spans="1:13">
      <c r="A243" s="15">
        <v>46235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7">
        <f>IFERROR(VLOOKUP(F243,Hoja2!$K$2:$M$1198,2,FALSE),0)</f>
        <v>11001000</v>
      </c>
      <c r="H243" s="17">
        <f>IFERROR(VLOOKUP(F243,Hoja2!$K$2:$M$1198,3,FALSE),0)</f>
        <v>5360000</v>
      </c>
      <c r="I243" s="3" t="s">
        <v>7</v>
      </c>
      <c r="J243" s="3" t="s">
        <v>217</v>
      </c>
      <c r="K243" s="3" t="s">
        <v>219</v>
      </c>
      <c r="L243" s="12">
        <v>544667</v>
      </c>
      <c r="M243" s="11">
        <v>1967543</v>
      </c>
    </row>
    <row r="244" spans="1:13">
      <c r="A244" s="15">
        <v>46235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7">
        <f>IFERROR(VLOOKUP(F244,Hoja2!$K$2:$M$1198,2,FALSE),0)</f>
        <v>11001000</v>
      </c>
      <c r="H244" s="17">
        <f>IFERROR(VLOOKUP(F244,Hoja2!$K$2:$M$1198,3,FALSE),0)</f>
        <v>41298000</v>
      </c>
      <c r="I244" s="3" t="s">
        <v>7</v>
      </c>
      <c r="J244" s="3" t="s">
        <v>217</v>
      </c>
      <c r="K244" s="3" t="s">
        <v>219</v>
      </c>
      <c r="L244" s="12">
        <v>1092400</v>
      </c>
      <c r="M244" s="11">
        <v>1931493</v>
      </c>
    </row>
    <row r="245" spans="1:13">
      <c r="A245" s="15">
        <v>46235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7">
        <f>IFERROR(VLOOKUP(F245,Hoja2!$K$2:$M$1198,2,FALSE),0)</f>
        <v>76892000</v>
      </c>
      <c r="H245" s="17">
        <f>IFERROR(VLOOKUP(F245,Hoja2!$K$2:$M$1198,3,FALSE),0)</f>
        <v>19001000</v>
      </c>
      <c r="I245" s="3" t="s">
        <v>7</v>
      </c>
      <c r="J245" s="3" t="s">
        <v>217</v>
      </c>
      <c r="K245" s="3" t="s">
        <v>219</v>
      </c>
      <c r="L245" s="12">
        <v>617759</v>
      </c>
      <c r="M245" s="11">
        <v>765870</v>
      </c>
    </row>
    <row r="246" spans="1:13">
      <c r="A246" s="15">
        <v>46235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7">
        <f>IFERROR(VLOOKUP(F246,Hoja2!$K$2:$M$1198,2,FALSE),0)</f>
        <v>19142000</v>
      </c>
      <c r="H246" s="17">
        <f>IFERROR(VLOOKUP(F246,Hoja2!$K$2:$M$1198,3,FALSE),0)</f>
        <v>11001000</v>
      </c>
      <c r="I246" s="3" t="s">
        <v>7</v>
      </c>
      <c r="J246" s="3" t="s">
        <v>217</v>
      </c>
      <c r="K246" s="3" t="s">
        <v>219</v>
      </c>
      <c r="L246" s="12">
        <v>518840</v>
      </c>
      <c r="M246" s="11">
        <v>2070504</v>
      </c>
    </row>
    <row r="247" spans="1:13">
      <c r="A247" s="15">
        <v>46235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7">
        <f>IFERROR(VLOOKUP(F247,Hoja2!$K$2:$M$1198,2,FALSE),0)</f>
        <v>11001000</v>
      </c>
      <c r="H247" s="17">
        <f>IFERROR(VLOOKUP(F247,Hoja2!$K$2:$M$1198,3,FALSE),0)</f>
        <v>18001000</v>
      </c>
      <c r="I247" s="3" t="s">
        <v>7</v>
      </c>
      <c r="J247" s="3" t="s">
        <v>217</v>
      </c>
      <c r="K247" s="3" t="s">
        <v>219</v>
      </c>
      <c r="L247" s="12">
        <v>710088</v>
      </c>
      <c r="M247" s="11">
        <v>2597188</v>
      </c>
    </row>
    <row r="248" spans="1:13">
      <c r="A248" s="15">
        <v>46235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7">
        <f>IFERROR(VLOOKUP(F248,Hoja2!$K$2:$M$1198,2,FALSE),0)</f>
        <v>66001000</v>
      </c>
      <c r="H248" s="17">
        <f>IFERROR(VLOOKUP(F248,Hoja2!$K$2:$M$1198,3,FALSE),0)</f>
        <v>68001000</v>
      </c>
      <c r="I248" s="3" t="s">
        <v>7</v>
      </c>
      <c r="J248" s="3" t="s">
        <v>217</v>
      </c>
      <c r="K248" s="3" t="s">
        <v>219</v>
      </c>
      <c r="L248" s="12">
        <v>619420</v>
      </c>
      <c r="M248" s="11">
        <v>2848685</v>
      </c>
    </row>
    <row r="249" spans="1:13">
      <c r="A249" s="15">
        <v>46235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7">
        <f>IFERROR(VLOOKUP(F249,Hoja2!$K$2:$M$1198,2,FALSE),0)</f>
        <v>11001000</v>
      </c>
      <c r="H249" s="17">
        <f>IFERROR(VLOOKUP(F249,Hoja2!$K$2:$M$1198,3,FALSE),0)</f>
        <v>25799000</v>
      </c>
      <c r="I249" s="3" t="s">
        <v>7</v>
      </c>
      <c r="J249" s="3" t="s">
        <v>217</v>
      </c>
      <c r="K249" s="3" t="s">
        <v>219</v>
      </c>
      <c r="L249" s="12">
        <v>495040</v>
      </c>
      <c r="M249" s="11">
        <v>666941</v>
      </c>
    </row>
    <row r="250" spans="1:13">
      <c r="A250" s="15">
        <v>46235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7">
        <f>IFERROR(VLOOKUP(F250,Hoja2!$K$2:$M$1198,2,FALSE),0)</f>
        <v>47001000</v>
      </c>
      <c r="H250" s="17">
        <f>IFERROR(VLOOKUP(F250,Hoja2!$K$2:$M$1198,3,FALSE),0)</f>
        <v>5001000</v>
      </c>
      <c r="I250" s="3" t="s">
        <v>7</v>
      </c>
      <c r="J250" s="3" t="s">
        <v>217</v>
      </c>
      <c r="K250" s="3" t="s">
        <v>219</v>
      </c>
      <c r="L250" s="12">
        <v>518840</v>
      </c>
      <c r="M250" s="11">
        <v>3837111</v>
      </c>
    </row>
    <row r="251" spans="1:13">
      <c r="A251" s="15">
        <v>46235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7">
        <f>IFERROR(VLOOKUP(F251,Hoja2!$K$2:$M$1198,2,FALSE),0)</f>
        <v>66001000</v>
      </c>
      <c r="H251" s="17">
        <f>IFERROR(VLOOKUP(F251,Hoja2!$K$2:$M$1198,3,FALSE),0)</f>
        <v>13001000</v>
      </c>
      <c r="I251" s="3" t="s">
        <v>7</v>
      </c>
      <c r="J251" s="3" t="s">
        <v>217</v>
      </c>
      <c r="K251" s="3" t="s">
        <v>219</v>
      </c>
      <c r="L251" s="12">
        <v>675350</v>
      </c>
      <c r="M251" s="11">
        <v>4066045</v>
      </c>
    </row>
    <row r="252" spans="1:13">
      <c r="A252" s="15">
        <v>46235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7">
        <f>IFERROR(VLOOKUP(F252,Hoja2!$K$2:$M$1198,2,FALSE),0)</f>
        <v>25799000</v>
      </c>
      <c r="H252" s="17">
        <f>IFERROR(VLOOKUP(F252,Hoja2!$K$2:$M$1198,3,FALSE),0)</f>
        <v>47001000</v>
      </c>
      <c r="I252" s="3" t="s">
        <v>7</v>
      </c>
      <c r="J252" s="3" t="s">
        <v>217</v>
      </c>
      <c r="K252" s="3" t="s">
        <v>219</v>
      </c>
      <c r="L252" s="12">
        <v>518840</v>
      </c>
      <c r="M252" s="11">
        <v>3632489</v>
      </c>
    </row>
    <row r="253" spans="1:13">
      <c r="A253" s="15">
        <v>46235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7">
        <f>IFERROR(VLOOKUP(F253,Hoja2!$K$2:$M$1198,2,FALSE),0)</f>
        <v>11001000</v>
      </c>
      <c r="H253" s="17">
        <f>IFERROR(VLOOKUP(F253,Hoja2!$K$2:$M$1198,3,FALSE),0)</f>
        <v>73001000</v>
      </c>
      <c r="I253" s="3" t="s">
        <v>7</v>
      </c>
      <c r="J253" s="3" t="s">
        <v>217</v>
      </c>
      <c r="K253" s="3" t="s">
        <v>219</v>
      </c>
      <c r="L253" s="12">
        <v>518820</v>
      </c>
      <c r="M253" s="11">
        <v>1014112</v>
      </c>
    </row>
    <row r="254" spans="1:13">
      <c r="A254" s="15">
        <v>46235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7">
        <f>IFERROR(VLOOKUP(F254,Hoja2!$K$2:$M$1198,2,FALSE),0)</f>
        <v>11001000</v>
      </c>
      <c r="H254" s="17">
        <f>IFERROR(VLOOKUP(F254,Hoja2!$K$2:$M$1198,3,FALSE),0)</f>
        <v>23001000</v>
      </c>
      <c r="I254" s="3" t="s">
        <v>7</v>
      </c>
      <c r="J254" s="3" t="s">
        <v>217</v>
      </c>
      <c r="K254" s="3" t="s">
        <v>219</v>
      </c>
      <c r="L254" s="12">
        <v>534290</v>
      </c>
      <c r="M254" s="11">
        <v>3820443</v>
      </c>
    </row>
    <row r="255" spans="1:13">
      <c r="A255" s="15">
        <v>46235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7">
        <f>IFERROR(VLOOKUP(F255,Hoja2!$K$2:$M$1198,2,FALSE),0)</f>
        <v>15238000</v>
      </c>
      <c r="H255" s="17">
        <f>IFERROR(VLOOKUP(F255,Hoja2!$K$2:$M$1198,3,FALSE),0)</f>
        <v>50001000</v>
      </c>
      <c r="I255" s="3" t="s">
        <v>7</v>
      </c>
      <c r="J255" s="3" t="s">
        <v>217</v>
      </c>
      <c r="K255" s="3" t="s">
        <v>219</v>
      </c>
      <c r="L255" s="12">
        <v>521220</v>
      </c>
      <c r="M255" s="11">
        <v>1905850</v>
      </c>
    </row>
    <row r="256" spans="1:13">
      <c r="A256" s="15">
        <v>46235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7">
        <f>IFERROR(VLOOKUP(F256,Hoja2!$K$2:$M$1198,2,FALSE),0)</f>
        <v>68001000</v>
      </c>
      <c r="H256" s="17">
        <f>IFERROR(VLOOKUP(F256,Hoja2!$K$2:$M$1198,3,FALSE),0)</f>
        <v>70001000</v>
      </c>
      <c r="I256" s="3" t="s">
        <v>7</v>
      </c>
      <c r="J256" s="3" t="s">
        <v>217</v>
      </c>
      <c r="K256" s="3" t="s">
        <v>219</v>
      </c>
      <c r="L256" s="12">
        <v>781711</v>
      </c>
      <c r="M256" s="11">
        <v>2718762</v>
      </c>
    </row>
    <row r="257" spans="1:13">
      <c r="A257" s="15">
        <v>46235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7">
        <f>IFERROR(VLOOKUP(F257,Hoja2!$K$2:$M$1198,2,FALSE),0)</f>
        <v>76892000</v>
      </c>
      <c r="H257" s="17">
        <f>IFERROR(VLOOKUP(F257,Hoja2!$K$2:$M$1198,3,FALSE),0)</f>
        <v>15238000</v>
      </c>
      <c r="I257" s="3" t="s">
        <v>7</v>
      </c>
      <c r="J257" s="3" t="s">
        <v>217</v>
      </c>
      <c r="K257" s="3" t="s">
        <v>219</v>
      </c>
      <c r="L257" s="12">
        <v>546091</v>
      </c>
      <c r="M257" s="11">
        <v>2684930</v>
      </c>
    </row>
    <row r="258" spans="1:13">
      <c r="A258" s="15">
        <v>46235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7">
        <f>IFERROR(VLOOKUP(F258,Hoja2!$K$2:$M$1198,2,FALSE),0)</f>
        <v>76892000</v>
      </c>
      <c r="H258" s="17">
        <f>IFERROR(VLOOKUP(F258,Hoja2!$K$2:$M$1198,3,FALSE),0)</f>
        <v>47001000</v>
      </c>
      <c r="I258" s="3" t="s">
        <v>7</v>
      </c>
      <c r="J258" s="3" t="s">
        <v>217</v>
      </c>
      <c r="K258" s="3" t="s">
        <v>219</v>
      </c>
      <c r="L258" s="12">
        <v>518840</v>
      </c>
      <c r="M258" s="11">
        <v>5397355</v>
      </c>
    </row>
    <row r="259" spans="1:13">
      <c r="A259" s="15">
        <v>46235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7">
        <f>IFERROR(VLOOKUP(F259,Hoja2!$K$2:$M$1198,2,FALSE),0)</f>
        <v>11001000</v>
      </c>
      <c r="H259" s="17">
        <f>IFERROR(VLOOKUP(F259,Hoja2!$K$2:$M$1198,3,FALSE),0)</f>
        <v>5154000</v>
      </c>
      <c r="I259" s="3" t="s">
        <v>7</v>
      </c>
      <c r="J259" s="3" t="s">
        <v>217</v>
      </c>
      <c r="K259" s="3" t="s">
        <v>219</v>
      </c>
      <c r="L259" s="12">
        <v>781711</v>
      </c>
      <c r="M259" s="11">
        <v>2909351</v>
      </c>
    </row>
    <row r="260" spans="1:13">
      <c r="A260" s="15">
        <v>46235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7">
        <f>IFERROR(VLOOKUP(F260,Hoja2!$K$2:$M$1198,2,FALSE),0)</f>
        <v>15238000</v>
      </c>
      <c r="H260" s="17">
        <f>IFERROR(VLOOKUP(F260,Hoja2!$K$2:$M$1198,3,FALSE),0)</f>
        <v>54001000</v>
      </c>
      <c r="I260" s="3" t="s">
        <v>7</v>
      </c>
      <c r="J260" s="3" t="s">
        <v>217</v>
      </c>
      <c r="K260" s="3" t="s">
        <v>219</v>
      </c>
      <c r="L260" s="12">
        <v>497632</v>
      </c>
      <c r="M260" s="11">
        <v>1834478</v>
      </c>
    </row>
    <row r="261" spans="1:13">
      <c r="A261" s="15">
        <v>46235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7">
        <f>IFERROR(VLOOKUP(F261,Hoja2!$K$2:$M$1198,2,FALSE),0)</f>
        <v>15238000</v>
      </c>
      <c r="H261" s="17">
        <f>IFERROR(VLOOKUP(F261,Hoja2!$K$2:$M$1198,3,FALSE),0)</f>
        <v>18001000</v>
      </c>
      <c r="I261" s="3" t="s">
        <v>7</v>
      </c>
      <c r="J261" s="3" t="s">
        <v>217</v>
      </c>
      <c r="K261" s="3" t="s">
        <v>219</v>
      </c>
      <c r="L261" s="12">
        <v>514080</v>
      </c>
      <c r="M261" s="11">
        <v>3078915</v>
      </c>
    </row>
    <row r="262" spans="1:13">
      <c r="A262" s="15">
        <v>46235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7">
        <f>IFERROR(VLOOKUP(F262,Hoja2!$K$2:$M$1198,2,FALSE),0)</f>
        <v>11001000</v>
      </c>
      <c r="H262" s="17">
        <f>IFERROR(VLOOKUP(F262,Hoja2!$K$2:$M$1198,3,FALSE),0)</f>
        <v>5615000</v>
      </c>
      <c r="I262" s="3" t="s">
        <v>7</v>
      </c>
      <c r="J262" s="3" t="s">
        <v>217</v>
      </c>
      <c r="K262" s="3" t="s">
        <v>219</v>
      </c>
      <c r="L262" s="12">
        <v>487505</v>
      </c>
      <c r="M262" s="11">
        <v>1830147</v>
      </c>
    </row>
    <row r="263" spans="1:13">
      <c r="A263" s="15">
        <v>46235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7">
        <f>IFERROR(VLOOKUP(F263,Hoja2!$K$2:$M$1198,2,FALSE),0)</f>
        <v>52835000</v>
      </c>
      <c r="H263" s="17">
        <f>IFERROR(VLOOKUP(F263,Hoja2!$K$2:$M$1198,3,FALSE),0)</f>
        <v>52001000</v>
      </c>
      <c r="I263" s="3" t="s">
        <v>7</v>
      </c>
      <c r="J263" s="3" t="s">
        <v>217</v>
      </c>
      <c r="K263" s="3" t="s">
        <v>219</v>
      </c>
      <c r="L263" s="12">
        <v>745344</v>
      </c>
      <c r="M263" s="11">
        <v>1574613</v>
      </c>
    </row>
    <row r="264" spans="1:13">
      <c r="A264" s="15">
        <v>46235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7">
        <f>IFERROR(VLOOKUP(F264,Hoja2!$K$2:$M$1198,2,FALSE),0)</f>
        <v>76892000</v>
      </c>
      <c r="H264" s="17">
        <f>IFERROR(VLOOKUP(F264,Hoja2!$K$2:$M$1198,3,FALSE),0)</f>
        <v>76111000</v>
      </c>
      <c r="I264" s="3" t="s">
        <v>7</v>
      </c>
      <c r="J264" s="3" t="s">
        <v>217</v>
      </c>
      <c r="K264" s="3" t="s">
        <v>219</v>
      </c>
      <c r="L264" s="12">
        <v>694139</v>
      </c>
      <c r="M264" s="11">
        <v>678056</v>
      </c>
    </row>
    <row r="265" spans="1:13">
      <c r="A265" s="15">
        <v>46235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7">
        <f>IFERROR(VLOOKUP(F265,Hoja2!$K$2:$M$1198,2,FALSE),0)</f>
        <v>15238000</v>
      </c>
      <c r="H265" s="17">
        <f>IFERROR(VLOOKUP(F265,Hoja2!$K$2:$M$1198,3,FALSE),0)</f>
        <v>68081000</v>
      </c>
      <c r="I265" s="3" t="s">
        <v>7</v>
      </c>
      <c r="J265" s="3" t="s">
        <v>217</v>
      </c>
      <c r="K265" s="3" t="s">
        <v>219</v>
      </c>
      <c r="L265" s="12">
        <v>631230</v>
      </c>
      <c r="M265" s="11">
        <v>1983151</v>
      </c>
    </row>
    <row r="266" spans="1:13">
      <c r="A266" s="15">
        <v>46235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7">
        <f>IFERROR(VLOOKUP(F266,Hoja2!$K$2:$M$1198,2,FALSE),0)</f>
        <v>19142000</v>
      </c>
      <c r="H266" s="17">
        <f>IFERROR(VLOOKUP(F266,Hoja2!$K$2:$M$1198,3,FALSE),0)</f>
        <v>23001000</v>
      </c>
      <c r="I266" s="3" t="s">
        <v>7</v>
      </c>
      <c r="J266" s="3" t="s">
        <v>217</v>
      </c>
      <c r="K266" s="3" t="s">
        <v>219</v>
      </c>
      <c r="L266" s="12">
        <v>534310</v>
      </c>
      <c r="M266" s="11">
        <v>4066045</v>
      </c>
    </row>
    <row r="267" spans="1:13">
      <c r="A267" s="15">
        <v>46235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7">
        <f>IFERROR(VLOOKUP(F267,Hoja2!$K$2:$M$1198,2,FALSE),0)</f>
        <v>11001000</v>
      </c>
      <c r="H267" s="17">
        <f>IFERROR(VLOOKUP(F267,Hoja2!$K$2:$M$1198,3,FALSE),0)</f>
        <v>5154000</v>
      </c>
      <c r="I267" s="3" t="s">
        <v>7</v>
      </c>
      <c r="J267" s="3" t="s">
        <v>217</v>
      </c>
      <c r="K267" s="3" t="s">
        <v>219</v>
      </c>
      <c r="L267" s="12">
        <v>781691</v>
      </c>
      <c r="M267" s="11">
        <v>2984932</v>
      </c>
    </row>
    <row r="268" spans="1:13">
      <c r="A268" s="15">
        <v>46235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7">
        <f>IFERROR(VLOOKUP(F268,Hoja2!$K$2:$M$1198,2,FALSE),0)</f>
        <v>66001000</v>
      </c>
      <c r="H268" s="17">
        <f>IFERROR(VLOOKUP(F268,Hoja2!$K$2:$M$1198,3,FALSE),0)</f>
        <v>18001000</v>
      </c>
      <c r="I268" s="3" t="s">
        <v>7</v>
      </c>
      <c r="J268" s="3" t="s">
        <v>217</v>
      </c>
      <c r="K268" s="3" t="s">
        <v>219</v>
      </c>
      <c r="L268" s="12">
        <v>778855</v>
      </c>
      <c r="M268" s="11">
        <v>2650694</v>
      </c>
    </row>
    <row r="269" spans="1:13">
      <c r="A269" s="15">
        <v>46235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7">
        <f>IFERROR(VLOOKUP(F269,Hoja2!$K$2:$M$1198,2,FALSE),0)</f>
        <v>13001000</v>
      </c>
      <c r="H269" s="17">
        <f>IFERROR(VLOOKUP(F269,Hoja2!$K$2:$M$1198,3,FALSE),0)</f>
        <v>5001000</v>
      </c>
      <c r="I269" s="3" t="s">
        <v>7</v>
      </c>
      <c r="J269" s="3" t="s">
        <v>217</v>
      </c>
      <c r="K269" s="3" t="s">
        <v>219</v>
      </c>
      <c r="L269" s="12">
        <v>594897</v>
      </c>
      <c r="M269" s="11">
        <v>2888494</v>
      </c>
    </row>
    <row r="270" spans="1:13">
      <c r="A270" s="15">
        <v>46235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7">
        <f>IFERROR(VLOOKUP(F270,Hoja2!$K$2:$M$1198,2,FALSE),0)</f>
        <v>15238000</v>
      </c>
      <c r="H270" s="17">
        <f>IFERROR(VLOOKUP(F270,Hoja2!$K$2:$M$1198,3,FALSE),0)</f>
        <v>47001000</v>
      </c>
      <c r="I270" s="3" t="s">
        <v>7</v>
      </c>
      <c r="J270" s="3" t="s">
        <v>217</v>
      </c>
      <c r="K270" s="3" t="s">
        <v>219</v>
      </c>
      <c r="L270" s="12">
        <v>493969</v>
      </c>
      <c r="M270" s="11">
        <v>3887923</v>
      </c>
    </row>
    <row r="271" spans="1:13">
      <c r="A271" s="15">
        <v>46235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7">
        <f>IFERROR(VLOOKUP(F271,Hoja2!$K$2:$M$1198,2,FALSE),0)</f>
        <v>8433000</v>
      </c>
      <c r="H271" s="17">
        <f>IFERROR(VLOOKUP(F271,Hoja2!$K$2:$M$1198,3,FALSE),0)</f>
        <v>63001000</v>
      </c>
      <c r="I271" s="3" t="s">
        <v>7</v>
      </c>
      <c r="J271" s="3" t="s">
        <v>217</v>
      </c>
      <c r="K271" s="3" t="s">
        <v>219</v>
      </c>
      <c r="L271" s="12">
        <v>756602</v>
      </c>
      <c r="M271" s="11">
        <v>4187152</v>
      </c>
    </row>
    <row r="272" spans="1:13">
      <c r="A272" s="15">
        <v>46235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7">
        <f>IFERROR(VLOOKUP(F272,Hoja2!$K$2:$M$1198,2,FALSE),0)</f>
        <v>11001000</v>
      </c>
      <c r="H272" s="17">
        <f>IFERROR(VLOOKUP(F272,Hoja2!$K$2:$M$1198,3,FALSE),0)</f>
        <v>76111000</v>
      </c>
      <c r="I272" s="3" t="s">
        <v>7</v>
      </c>
      <c r="J272" s="3" t="s">
        <v>217</v>
      </c>
      <c r="K272" s="3" t="s">
        <v>219</v>
      </c>
      <c r="L272" s="12">
        <v>670339</v>
      </c>
      <c r="M272" s="11">
        <v>1863864</v>
      </c>
    </row>
    <row r="273" spans="1:13">
      <c r="A273" s="15">
        <v>46235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7">
        <f>IFERROR(VLOOKUP(F273,Hoja2!$K$2:$M$1198,2,FALSE),0)</f>
        <v>68547000</v>
      </c>
      <c r="H273" s="17">
        <f>IFERROR(VLOOKUP(F273,Hoja2!$K$2:$M$1198,3,FALSE),0)</f>
        <v>68081000</v>
      </c>
      <c r="I273" s="3" t="s">
        <v>7</v>
      </c>
      <c r="J273" s="3" t="s">
        <v>217</v>
      </c>
      <c r="K273" s="3" t="s">
        <v>219</v>
      </c>
      <c r="L273" s="12">
        <v>1177321</v>
      </c>
      <c r="M273" s="11">
        <v>1084525</v>
      </c>
    </row>
    <row r="274" spans="1:13">
      <c r="A274" s="15">
        <v>46235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7">
        <f>IFERROR(VLOOKUP(F274,Hoja2!$K$2:$M$1198,2,FALSE),0)</f>
        <v>68547000</v>
      </c>
      <c r="H274" s="17">
        <f>IFERROR(VLOOKUP(F274,Hoja2!$K$2:$M$1198,3,FALSE),0)</f>
        <v>73001000</v>
      </c>
      <c r="I274" s="3" t="s">
        <v>7</v>
      </c>
      <c r="J274" s="3" t="s">
        <v>217</v>
      </c>
      <c r="K274" s="3" t="s">
        <v>219</v>
      </c>
      <c r="L274" s="12">
        <v>520030</v>
      </c>
      <c r="M274" s="11">
        <v>2568945</v>
      </c>
    </row>
    <row r="275" spans="1:13">
      <c r="A275" s="15">
        <v>46235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7">
        <f>IFERROR(VLOOKUP(F275,Hoja2!$K$2:$M$1198,2,FALSE),0)</f>
        <v>0</v>
      </c>
      <c r="H275" s="17">
        <f>IFERROR(VLOOKUP(F275,Hoja2!$K$2:$M$1198,3,FALSE),0)</f>
        <v>0</v>
      </c>
      <c r="I275" s="3" t="s">
        <v>7</v>
      </c>
      <c r="J275" s="3" t="s">
        <v>217</v>
      </c>
      <c r="K275" s="3" t="s">
        <v>219</v>
      </c>
      <c r="L275" s="12">
        <v>518820</v>
      </c>
      <c r="M275" s="11">
        <v>683803</v>
      </c>
    </row>
    <row r="276" spans="1:13">
      <c r="A276" s="15">
        <v>46235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7">
        <f>IFERROR(VLOOKUP(F276,Hoja2!$K$2:$M$1198,2,FALSE),0)</f>
        <v>5088000</v>
      </c>
      <c r="H276" s="17">
        <f>IFERROR(VLOOKUP(F276,Hoja2!$K$2:$M$1198,3,FALSE),0)</f>
        <v>11001000</v>
      </c>
      <c r="I276" s="3" t="s">
        <v>7</v>
      </c>
      <c r="J276" s="3" t="s">
        <v>217</v>
      </c>
      <c r="K276" s="3" t="s">
        <v>219</v>
      </c>
      <c r="L276" s="12">
        <v>544667</v>
      </c>
      <c r="M276" s="11">
        <v>1929312</v>
      </c>
    </row>
    <row r="277" spans="1:13">
      <c r="A277" s="15">
        <v>46235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7">
        <f>IFERROR(VLOOKUP(F277,Hoja2!$K$2:$M$1198,2,FALSE),0)</f>
        <v>76892000</v>
      </c>
      <c r="H277" s="17">
        <f>IFERROR(VLOOKUP(F277,Hoja2!$K$2:$M$1198,3,FALSE),0)</f>
        <v>50001000</v>
      </c>
      <c r="I277" s="3" t="s">
        <v>7</v>
      </c>
      <c r="J277" s="3" t="s">
        <v>217</v>
      </c>
      <c r="K277" s="3" t="s">
        <v>219</v>
      </c>
      <c r="L277" s="12">
        <v>546091</v>
      </c>
      <c r="M277" s="11">
        <v>2775282</v>
      </c>
    </row>
    <row r="278" spans="1:13">
      <c r="A278" s="15">
        <v>46235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7">
        <f>IFERROR(VLOOKUP(F278,Hoja2!$K$2:$M$1198,2,FALSE),0)</f>
        <v>0</v>
      </c>
      <c r="H278" s="17">
        <f>IFERROR(VLOOKUP(F278,Hoja2!$K$2:$M$1198,3,FALSE),0)</f>
        <v>0</v>
      </c>
      <c r="I278" s="3" t="s">
        <v>7</v>
      </c>
      <c r="J278" s="3" t="s">
        <v>217</v>
      </c>
      <c r="K278" s="3" t="s">
        <v>219</v>
      </c>
      <c r="L278" s="12">
        <v>606241</v>
      </c>
      <c r="M278" s="11">
        <v>1761930</v>
      </c>
    </row>
    <row r="279" spans="1:13">
      <c r="A279" s="15">
        <v>46235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7">
        <f>IFERROR(VLOOKUP(F279,Hoja2!$K$2:$M$1198,2,FALSE),0)</f>
        <v>25799000</v>
      </c>
      <c r="H279" s="17">
        <f>IFERROR(VLOOKUP(F279,Hoja2!$K$2:$M$1198,3,FALSE),0)</f>
        <v>5001000</v>
      </c>
      <c r="I279" s="3" t="s">
        <v>7</v>
      </c>
      <c r="J279" s="3" t="s">
        <v>217</v>
      </c>
      <c r="K279" s="3" t="s">
        <v>219</v>
      </c>
      <c r="L279" s="12">
        <v>609820</v>
      </c>
      <c r="M279" s="11">
        <v>2931794</v>
      </c>
    </row>
    <row r="280" spans="1:13">
      <c r="A280" s="15">
        <v>46235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7">
        <f>IFERROR(VLOOKUP(F280,Hoja2!$K$2:$M$1198,2,FALSE),0)</f>
        <v>5001000</v>
      </c>
      <c r="H280" s="17">
        <f>IFERROR(VLOOKUP(F280,Hoja2!$K$2:$M$1198,3,FALSE),0)</f>
        <v>11001000</v>
      </c>
      <c r="I280" s="3" t="s">
        <v>7</v>
      </c>
      <c r="J280" s="3" t="s">
        <v>217</v>
      </c>
      <c r="K280" s="3" t="s">
        <v>219</v>
      </c>
      <c r="L280" s="12">
        <v>540965</v>
      </c>
      <c r="M280" s="11">
        <v>1968505</v>
      </c>
    </row>
    <row r="281" spans="1:13">
      <c r="A281" s="15">
        <v>46235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7">
        <f>IFERROR(VLOOKUP(F281,Hoja2!$K$2:$M$1198,2,FALSE),0)</f>
        <v>54001000</v>
      </c>
      <c r="H281" s="17">
        <f>IFERROR(VLOOKUP(F281,Hoja2!$K$2:$M$1198,3,FALSE),0)</f>
        <v>76892000</v>
      </c>
      <c r="I281" s="3" t="s">
        <v>7</v>
      </c>
      <c r="J281" s="3" t="s">
        <v>217</v>
      </c>
      <c r="K281" s="3" t="s">
        <v>219</v>
      </c>
      <c r="L281" s="12">
        <v>518840</v>
      </c>
      <c r="M281" s="11">
        <v>4402678</v>
      </c>
    </row>
    <row r="282" spans="1:13">
      <c r="A282" s="15">
        <v>46235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7">
        <f>IFERROR(VLOOKUP(F282,Hoja2!$K$2:$M$1198,2,FALSE),0)</f>
        <v>11001000</v>
      </c>
      <c r="H282" s="17">
        <f>IFERROR(VLOOKUP(F282,Hoja2!$K$2:$M$1198,3,FALSE),0)</f>
        <v>5001000</v>
      </c>
      <c r="I282" s="3" t="s">
        <v>7</v>
      </c>
      <c r="J282" s="3" t="s">
        <v>217</v>
      </c>
      <c r="K282" s="3" t="s">
        <v>219</v>
      </c>
      <c r="L282" s="12">
        <v>540965</v>
      </c>
      <c r="M282" s="11">
        <v>1951627</v>
      </c>
    </row>
    <row r="283" spans="1:13">
      <c r="A283" s="15">
        <v>46235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7">
        <f>IFERROR(VLOOKUP(F283,Hoja2!$K$2:$M$1198,2,FALSE),0)</f>
        <v>11001000</v>
      </c>
      <c r="H283" s="17">
        <f>IFERROR(VLOOKUP(F283,Hoja2!$K$2:$M$1198,3,FALSE),0)</f>
        <v>15238000</v>
      </c>
      <c r="I283" s="3" t="s">
        <v>7</v>
      </c>
      <c r="J283" s="3" t="s">
        <v>217</v>
      </c>
      <c r="K283" s="3" t="s">
        <v>219</v>
      </c>
      <c r="L283" s="12">
        <v>494976</v>
      </c>
      <c r="M283" s="11">
        <v>1068995</v>
      </c>
    </row>
    <row r="284" spans="1:13">
      <c r="A284" s="15">
        <v>46235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7">
        <f>IFERROR(VLOOKUP(F284,Hoja2!$K$2:$M$1198,2,FALSE),0)</f>
        <v>11001000</v>
      </c>
      <c r="H284" s="17">
        <f>IFERROR(VLOOKUP(F284,Hoja2!$K$2:$M$1198,3,FALSE),0)</f>
        <v>25612000</v>
      </c>
      <c r="I284" s="3" t="s">
        <v>7</v>
      </c>
      <c r="J284" s="3" t="s">
        <v>217</v>
      </c>
      <c r="K284" s="3" t="s">
        <v>219</v>
      </c>
      <c r="L284" s="12">
        <v>509811</v>
      </c>
      <c r="M284" s="11">
        <v>863487</v>
      </c>
    </row>
    <row r="285" spans="1:13">
      <c r="A285" s="15">
        <v>46235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7">
        <f>IFERROR(VLOOKUP(F285,Hoja2!$K$2:$M$1198,2,FALSE),0)</f>
        <v>47001000</v>
      </c>
      <c r="H285" s="17">
        <f>IFERROR(VLOOKUP(F285,Hoja2!$K$2:$M$1198,3,FALSE),0)</f>
        <v>66001000</v>
      </c>
      <c r="I285" s="3" t="s">
        <v>7</v>
      </c>
      <c r="J285" s="3" t="s">
        <v>217</v>
      </c>
      <c r="K285" s="3" t="s">
        <v>219</v>
      </c>
      <c r="L285" s="12">
        <v>619420</v>
      </c>
      <c r="M285" s="11">
        <v>4517754</v>
      </c>
    </row>
    <row r="286" spans="1:13">
      <c r="A286" s="15">
        <v>46235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7">
        <f>IFERROR(VLOOKUP(F286,Hoja2!$K$2:$M$1198,2,FALSE),0)</f>
        <v>19142000</v>
      </c>
      <c r="H286" s="17">
        <f>IFERROR(VLOOKUP(F286,Hoja2!$K$2:$M$1198,3,FALSE),0)</f>
        <v>47001000</v>
      </c>
      <c r="I286" s="3" t="s">
        <v>7</v>
      </c>
      <c r="J286" s="3" t="s">
        <v>217</v>
      </c>
      <c r="K286" s="3" t="s">
        <v>219</v>
      </c>
      <c r="L286" s="12">
        <v>763647</v>
      </c>
      <c r="M286" s="11">
        <v>4569747</v>
      </c>
    </row>
    <row r="287" spans="1:13">
      <c r="A287" s="15">
        <v>46235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7">
        <f>IFERROR(VLOOKUP(F287,Hoja2!$K$2:$M$1198,2,FALSE),0)</f>
        <v>19142000</v>
      </c>
      <c r="H287" s="17">
        <f>IFERROR(VLOOKUP(F287,Hoja2!$K$2:$M$1198,3,FALSE),0)</f>
        <v>52356000</v>
      </c>
      <c r="I287" s="3" t="s">
        <v>7</v>
      </c>
      <c r="J287" s="3" t="s">
        <v>217</v>
      </c>
      <c r="K287" s="3" t="s">
        <v>219</v>
      </c>
      <c r="L287" s="12">
        <v>589092</v>
      </c>
      <c r="M287" s="11">
        <v>1988594</v>
      </c>
    </row>
    <row r="288" spans="1:13">
      <c r="A288" s="15">
        <v>46235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7">
        <f>IFERROR(VLOOKUP(F288,Hoja2!$K$2:$M$1198,2,FALSE),0)</f>
        <v>19142000</v>
      </c>
      <c r="H288" s="17">
        <f>IFERROR(VLOOKUP(F288,Hoja2!$K$2:$M$1198,3,FALSE),0)</f>
        <v>52001000</v>
      </c>
      <c r="I288" s="3" t="s">
        <v>7</v>
      </c>
      <c r="J288" s="3" t="s">
        <v>217</v>
      </c>
      <c r="K288" s="3" t="s">
        <v>219</v>
      </c>
      <c r="L288" s="12">
        <v>632092</v>
      </c>
      <c r="M288" s="11">
        <v>2746191</v>
      </c>
    </row>
    <row r="289" spans="1:13">
      <c r="A289" s="15">
        <v>46235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7">
        <f>IFERROR(VLOOKUP(F289,Hoja2!$K$2:$M$1198,2,FALSE),0)</f>
        <v>68001000</v>
      </c>
      <c r="H289" s="17">
        <f>IFERROR(VLOOKUP(F289,Hoja2!$K$2:$M$1198,3,FALSE),0)</f>
        <v>20060000</v>
      </c>
      <c r="I289" s="3" t="s">
        <v>7</v>
      </c>
      <c r="J289" s="3" t="s">
        <v>217</v>
      </c>
      <c r="K289" s="3" t="s">
        <v>219</v>
      </c>
      <c r="L289" s="12">
        <v>763647</v>
      </c>
      <c r="M289" s="11">
        <v>1883482</v>
      </c>
    </row>
    <row r="290" spans="1:13">
      <c r="A290" s="15">
        <v>46235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7">
        <f>IFERROR(VLOOKUP(F290,Hoja2!$K$2:$M$1198,2,FALSE),0)</f>
        <v>68547000</v>
      </c>
      <c r="H290" s="17">
        <f>IFERROR(VLOOKUP(F290,Hoja2!$K$2:$M$1198,3,FALSE),0)</f>
        <v>11001000</v>
      </c>
      <c r="I290" s="3" t="s">
        <v>7</v>
      </c>
      <c r="J290" s="3" t="s">
        <v>217</v>
      </c>
      <c r="K290" s="3" t="s">
        <v>219</v>
      </c>
      <c r="L290" s="12">
        <v>495040</v>
      </c>
      <c r="M290" s="11">
        <v>1871648</v>
      </c>
    </row>
    <row r="291" spans="1:13">
      <c r="A291" s="15">
        <v>46235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7">
        <f>IFERROR(VLOOKUP(F291,Hoja2!$K$2:$M$1198,2,FALSE),0)</f>
        <v>41001000</v>
      </c>
      <c r="H291" s="17">
        <f>IFERROR(VLOOKUP(F291,Hoja2!$K$2:$M$1198,3,FALSE),0)</f>
        <v>41298000</v>
      </c>
      <c r="I291" s="3" t="s">
        <v>7</v>
      </c>
      <c r="J291" s="3" t="s">
        <v>217</v>
      </c>
      <c r="K291" s="3" t="s">
        <v>219</v>
      </c>
      <c r="L291" s="12">
        <v>1190000</v>
      </c>
      <c r="M291" s="11">
        <v>800569</v>
      </c>
    </row>
    <row r="292" spans="1:13">
      <c r="A292" s="15">
        <v>46235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7">
        <f>IFERROR(VLOOKUP(F292,Hoja2!$K$2:$M$1198,2,FALSE),0)</f>
        <v>8433000</v>
      </c>
      <c r="H292" s="17">
        <f>IFERROR(VLOOKUP(F292,Hoja2!$K$2:$M$1198,3,FALSE),0)</f>
        <v>15001000</v>
      </c>
      <c r="I292" s="3" t="s">
        <v>7</v>
      </c>
      <c r="J292" s="3" t="s">
        <v>217</v>
      </c>
      <c r="K292" s="3" t="s">
        <v>219</v>
      </c>
      <c r="L292" s="12">
        <v>517650</v>
      </c>
      <c r="M292" s="11">
        <v>3959105</v>
      </c>
    </row>
    <row r="293" spans="1:13">
      <c r="A293" s="15">
        <v>46235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7">
        <f>IFERROR(VLOOKUP(F293,Hoja2!$K$2:$M$1198,2,FALSE),0)</f>
        <v>8433000</v>
      </c>
      <c r="H293" s="17">
        <f>IFERROR(VLOOKUP(F293,Hoja2!$K$2:$M$1198,3,FALSE),0)</f>
        <v>85001000</v>
      </c>
      <c r="I293" s="3" t="s">
        <v>7</v>
      </c>
      <c r="J293" s="3" t="s">
        <v>217</v>
      </c>
      <c r="K293" s="3" t="s">
        <v>219</v>
      </c>
      <c r="L293" s="12">
        <v>546091</v>
      </c>
      <c r="M293" s="11">
        <v>4489953</v>
      </c>
    </row>
    <row r="294" spans="1:13">
      <c r="A294" s="15">
        <v>46235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7">
        <f>IFERROR(VLOOKUP(F294,Hoja2!$K$2:$M$1198,2,FALSE),0)</f>
        <v>11001000</v>
      </c>
      <c r="H294" s="17">
        <f>IFERROR(VLOOKUP(F294,Hoja2!$K$2:$M$1198,3,FALSE),0)</f>
        <v>70001000</v>
      </c>
      <c r="I294" s="3" t="s">
        <v>7</v>
      </c>
      <c r="J294" s="3" t="s">
        <v>217</v>
      </c>
      <c r="K294" s="3" t="s">
        <v>219</v>
      </c>
      <c r="L294" s="12">
        <v>781711</v>
      </c>
      <c r="M294" s="11">
        <v>3944567</v>
      </c>
    </row>
    <row r="295" spans="1:13">
      <c r="A295" s="15">
        <v>46235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7">
        <f>IFERROR(VLOOKUP(F295,Hoja2!$K$2:$M$1198,2,FALSE),0)</f>
        <v>68001000</v>
      </c>
      <c r="H295" s="17">
        <f>IFERROR(VLOOKUP(F295,Hoja2!$K$2:$M$1198,3,FALSE),0)</f>
        <v>66001000</v>
      </c>
      <c r="I295" s="3" t="s">
        <v>7</v>
      </c>
      <c r="J295" s="3" t="s">
        <v>217</v>
      </c>
      <c r="K295" s="3" t="s">
        <v>219</v>
      </c>
      <c r="L295" s="12">
        <v>1082443</v>
      </c>
      <c r="M295" s="11">
        <v>2814960</v>
      </c>
    </row>
    <row r="296" spans="1:13">
      <c r="A296" s="15">
        <v>46235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7">
        <f>IFERROR(VLOOKUP(F296,Hoja2!$K$2:$M$1198,2,FALSE),0)</f>
        <v>11001000</v>
      </c>
      <c r="H296" s="17">
        <f>IFERROR(VLOOKUP(F296,Hoja2!$K$2:$M$1198,3,FALSE),0)</f>
        <v>25754000</v>
      </c>
      <c r="I296" s="3" t="s">
        <v>7</v>
      </c>
      <c r="J296" s="3" t="s">
        <v>217</v>
      </c>
      <c r="K296" s="3" t="s">
        <v>219</v>
      </c>
      <c r="L296" s="12">
        <v>495020</v>
      </c>
      <c r="M296" s="11">
        <v>444064</v>
      </c>
    </row>
    <row r="297" spans="1:13">
      <c r="A297" s="15">
        <v>46235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7">
        <f>IFERROR(VLOOKUP(F297,Hoja2!$K$2:$M$1198,2,FALSE),0)</f>
        <v>25799000</v>
      </c>
      <c r="H297" s="17">
        <f>IFERROR(VLOOKUP(F297,Hoja2!$K$2:$M$1198,3,FALSE),0)</f>
        <v>76001000</v>
      </c>
      <c r="I297" s="3" t="s">
        <v>7</v>
      </c>
      <c r="J297" s="3" t="s">
        <v>217</v>
      </c>
      <c r="K297" s="3" t="s">
        <v>219</v>
      </c>
      <c r="L297" s="12">
        <v>572418</v>
      </c>
      <c r="M297" s="11">
        <v>2480456</v>
      </c>
    </row>
    <row r="298" spans="1:13">
      <c r="A298" s="15">
        <v>46235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7">
        <f>IFERROR(VLOOKUP(F298,Hoja2!$K$2:$M$1198,2,FALSE),0)</f>
        <v>8433000</v>
      </c>
      <c r="H298" s="17">
        <f>IFERROR(VLOOKUP(F298,Hoja2!$K$2:$M$1198,3,FALSE),0)</f>
        <v>47001000</v>
      </c>
      <c r="I298" s="3" t="s">
        <v>7</v>
      </c>
      <c r="J298" s="3" t="s">
        <v>217</v>
      </c>
      <c r="K298" s="3" t="s">
        <v>219</v>
      </c>
      <c r="L298" s="12">
        <v>518840</v>
      </c>
      <c r="M298" s="11">
        <v>805425</v>
      </c>
    </row>
    <row r="299" spans="1:13">
      <c r="A299" s="15">
        <v>46235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7">
        <f>IFERROR(VLOOKUP(F299,Hoja2!$K$2:$M$1198,2,FALSE),0)</f>
        <v>25799000</v>
      </c>
      <c r="H299" s="17">
        <f>IFERROR(VLOOKUP(F299,Hoja2!$K$2:$M$1198,3,FALSE),0)</f>
        <v>68077000</v>
      </c>
      <c r="I299" s="3" t="s">
        <v>7</v>
      </c>
      <c r="J299" s="3" t="s">
        <v>217</v>
      </c>
      <c r="K299" s="3" t="s">
        <v>219</v>
      </c>
      <c r="L299" s="12">
        <v>546091</v>
      </c>
      <c r="M299" s="11">
        <v>953094</v>
      </c>
    </row>
    <row r="300" spans="1:13">
      <c r="A300" s="15">
        <v>46235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7">
        <f>IFERROR(VLOOKUP(F300,Hoja2!$K$2:$M$1198,2,FALSE),0)</f>
        <v>5001000</v>
      </c>
      <c r="H300" s="17">
        <f>IFERROR(VLOOKUP(F300,Hoja2!$K$2:$M$1198,3,FALSE),0)</f>
        <v>70001000</v>
      </c>
      <c r="I300" s="3" t="s">
        <v>7</v>
      </c>
      <c r="J300" s="3" t="s">
        <v>217</v>
      </c>
      <c r="K300" s="3" t="s">
        <v>219</v>
      </c>
      <c r="L300" s="12">
        <v>781711</v>
      </c>
      <c r="M300" s="11">
        <v>2027880</v>
      </c>
    </row>
    <row r="301" spans="1:13">
      <c r="A301" s="15">
        <v>46235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7">
        <f>IFERROR(VLOOKUP(F301,Hoja2!$K$2:$M$1198,2,FALSE),0)</f>
        <v>15238000</v>
      </c>
      <c r="H301" s="17">
        <f>IFERROR(VLOOKUP(F301,Hoja2!$K$2:$M$1198,3,FALSE),0)</f>
        <v>76109000</v>
      </c>
      <c r="I301" s="3" t="s">
        <v>7</v>
      </c>
      <c r="J301" s="3" t="s">
        <v>217</v>
      </c>
      <c r="K301" s="3" t="s">
        <v>219</v>
      </c>
      <c r="L301" s="12">
        <v>797325</v>
      </c>
      <c r="M301" s="11">
        <v>2875857</v>
      </c>
    </row>
    <row r="302" spans="1:13">
      <c r="A302" s="15">
        <v>46235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7">
        <f>IFERROR(VLOOKUP(F302,Hoja2!$K$2:$M$1198,2,FALSE),0)</f>
        <v>5001000</v>
      </c>
      <c r="H302" s="17">
        <f>IFERROR(VLOOKUP(F302,Hoja2!$K$2:$M$1198,3,FALSE),0)</f>
        <v>50001000</v>
      </c>
      <c r="I302" s="3" t="s">
        <v>7</v>
      </c>
      <c r="J302" s="3" t="s">
        <v>217</v>
      </c>
      <c r="K302" s="3" t="s">
        <v>219</v>
      </c>
      <c r="L302" s="12">
        <v>617899</v>
      </c>
      <c r="M302" s="11">
        <v>2526565</v>
      </c>
    </row>
    <row r="303" spans="1:13">
      <c r="A303" s="15">
        <v>46235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7">
        <f>IFERROR(VLOOKUP(F303,Hoja2!$K$2:$M$1198,2,FALSE),0)</f>
        <v>5001000</v>
      </c>
      <c r="H303" s="17">
        <f>IFERROR(VLOOKUP(F303,Hoja2!$K$2:$M$1198,3,FALSE),0)</f>
        <v>68547000</v>
      </c>
      <c r="I303" s="3" t="s">
        <v>7</v>
      </c>
      <c r="J303" s="3" t="s">
        <v>217</v>
      </c>
      <c r="K303" s="3" t="s">
        <v>219</v>
      </c>
      <c r="L303" s="12">
        <v>518840</v>
      </c>
      <c r="M303" s="11">
        <v>1878384</v>
      </c>
    </row>
    <row r="304" spans="1:13">
      <c r="A304" s="15">
        <v>46235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7">
        <f>IFERROR(VLOOKUP(F304,Hoja2!$K$2:$M$1198,2,FALSE),0)</f>
        <v>5001000</v>
      </c>
      <c r="H304" s="17">
        <f>IFERROR(VLOOKUP(F304,Hoja2!$K$2:$M$1198,3,FALSE),0)</f>
        <v>41001000</v>
      </c>
      <c r="I304" s="3" t="s">
        <v>7</v>
      </c>
      <c r="J304" s="3" t="s">
        <v>217</v>
      </c>
      <c r="K304" s="3" t="s">
        <v>219</v>
      </c>
      <c r="L304" s="12">
        <v>616420</v>
      </c>
      <c r="M304" s="11">
        <v>2599070</v>
      </c>
    </row>
    <row r="305" spans="1:13">
      <c r="A305" s="15">
        <v>46235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7">
        <f>IFERROR(VLOOKUP(F305,Hoja2!$K$2:$M$1198,2,FALSE),0)</f>
        <v>15238000</v>
      </c>
      <c r="H305" s="17">
        <f>IFERROR(VLOOKUP(F305,Hoja2!$K$2:$M$1198,3,FALSE),0)</f>
        <v>17001000</v>
      </c>
      <c r="I305" s="3" t="s">
        <v>7</v>
      </c>
      <c r="J305" s="3" t="s">
        <v>217</v>
      </c>
      <c r="K305" s="3" t="s">
        <v>219</v>
      </c>
      <c r="L305" s="12">
        <v>756602</v>
      </c>
      <c r="M305" s="11">
        <v>1969057</v>
      </c>
    </row>
    <row r="306" spans="1:13">
      <c r="A306" s="15">
        <v>46235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7">
        <f>IFERROR(VLOOKUP(F306,Hoja2!$K$2:$M$1198,2,FALSE),0)</f>
        <v>52001000</v>
      </c>
      <c r="H306" s="17">
        <f>IFERROR(VLOOKUP(F306,Hoja2!$K$2:$M$1198,3,FALSE),0)</f>
        <v>76892000</v>
      </c>
      <c r="I306" s="3" t="s">
        <v>7</v>
      </c>
      <c r="J306" s="3" t="s">
        <v>217</v>
      </c>
      <c r="K306" s="3" t="s">
        <v>219</v>
      </c>
      <c r="L306" s="12">
        <v>632092</v>
      </c>
      <c r="M306" s="11">
        <v>1943596</v>
      </c>
    </row>
    <row r="307" spans="1:13">
      <c r="A307" s="15">
        <v>46235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7">
        <f>IFERROR(VLOOKUP(F307,Hoja2!$K$2:$M$1198,2,FALSE),0)</f>
        <v>50001000</v>
      </c>
      <c r="H307" s="17">
        <f>IFERROR(VLOOKUP(F307,Hoja2!$K$2:$M$1198,3,FALSE),0)</f>
        <v>54001000</v>
      </c>
      <c r="I307" s="3" t="s">
        <v>7</v>
      </c>
      <c r="J307" s="3" t="s">
        <v>217</v>
      </c>
      <c r="K307" s="3" t="s">
        <v>219</v>
      </c>
      <c r="L307" s="12">
        <v>620779</v>
      </c>
      <c r="M307" s="11">
        <v>3119610</v>
      </c>
    </row>
    <row r="308" spans="1:13">
      <c r="A308" s="15">
        <v>46235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7">
        <f>IFERROR(VLOOKUP(F308,Hoja2!$K$2:$M$1198,2,FALSE),0)</f>
        <v>8433000</v>
      </c>
      <c r="H308" s="17">
        <f>IFERROR(VLOOKUP(F308,Hoja2!$K$2:$M$1198,3,FALSE),0)</f>
        <v>5001000</v>
      </c>
      <c r="I308" s="3" t="s">
        <v>7</v>
      </c>
      <c r="J308" s="3" t="s">
        <v>217</v>
      </c>
      <c r="K308" s="3" t="s">
        <v>219</v>
      </c>
      <c r="L308" s="12">
        <v>518840</v>
      </c>
      <c r="M308" s="11">
        <v>2962622</v>
      </c>
    </row>
    <row r="309" spans="1:13">
      <c r="A309" s="15">
        <v>46235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7">
        <f>IFERROR(VLOOKUP(F309,Hoja2!$K$2:$M$1198,2,FALSE),0)</f>
        <v>5001000</v>
      </c>
      <c r="H309" s="17">
        <f>IFERROR(VLOOKUP(F309,Hoja2!$K$2:$M$1198,3,FALSE),0)</f>
        <v>25799000</v>
      </c>
      <c r="I309" s="3" t="s">
        <v>7</v>
      </c>
      <c r="J309" s="3" t="s">
        <v>217</v>
      </c>
      <c r="K309" s="3" t="s">
        <v>219</v>
      </c>
      <c r="L309" s="12">
        <v>518840</v>
      </c>
      <c r="M309" s="11">
        <v>1906558</v>
      </c>
    </row>
    <row r="310" spans="1:13">
      <c r="A310" s="15">
        <v>46235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7">
        <f>IFERROR(VLOOKUP(F310,Hoja2!$K$2:$M$1198,2,FALSE),0)</f>
        <v>19142000</v>
      </c>
      <c r="H310" s="17">
        <f>IFERROR(VLOOKUP(F310,Hoja2!$K$2:$M$1198,3,FALSE),0)</f>
        <v>68081000</v>
      </c>
      <c r="I310" s="3" t="s">
        <v>7</v>
      </c>
      <c r="J310" s="3" t="s">
        <v>217</v>
      </c>
      <c r="K310" s="3" t="s">
        <v>219</v>
      </c>
      <c r="L310" s="12">
        <v>1177321</v>
      </c>
      <c r="M310" s="11">
        <v>3902885</v>
      </c>
    </row>
    <row r="311" spans="1:13">
      <c r="A311" s="15">
        <v>46235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7">
        <f>IFERROR(VLOOKUP(F311,Hoja2!$K$2:$M$1198,2,FALSE),0)</f>
        <v>11001000</v>
      </c>
      <c r="H311" s="17">
        <f>IFERROR(VLOOKUP(F311,Hoja2!$K$2:$M$1198,3,FALSE),0)</f>
        <v>25612000</v>
      </c>
      <c r="I311" s="3" t="s">
        <v>7</v>
      </c>
      <c r="J311" s="3" t="s">
        <v>217</v>
      </c>
      <c r="K311" s="3" t="s">
        <v>219</v>
      </c>
      <c r="L311" s="12">
        <v>520010</v>
      </c>
      <c r="M311" s="11">
        <v>820284</v>
      </c>
    </row>
    <row r="312" spans="1:13">
      <c r="A312" s="15">
        <v>46235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7">
        <f>IFERROR(VLOOKUP(F312,Hoja2!$K$2:$M$1198,2,FALSE),0)</f>
        <v>8433000</v>
      </c>
      <c r="H312" s="17">
        <f>IFERROR(VLOOKUP(F312,Hoja2!$K$2:$M$1198,3,FALSE),0)</f>
        <v>73443000</v>
      </c>
      <c r="I312" s="3" t="s">
        <v>7</v>
      </c>
      <c r="J312" s="3" t="s">
        <v>217</v>
      </c>
      <c r="K312" s="3" t="s">
        <v>219</v>
      </c>
      <c r="L312" s="12">
        <v>1151920</v>
      </c>
      <c r="M312" s="11">
        <v>3967718</v>
      </c>
    </row>
    <row r="313" spans="1:13">
      <c r="A313" s="15">
        <v>46235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7">
        <f>IFERROR(VLOOKUP(F313,Hoja2!$K$2:$M$1198,2,FALSE),0)</f>
        <v>8433000</v>
      </c>
      <c r="H313" s="17">
        <f>IFERROR(VLOOKUP(F313,Hoja2!$K$2:$M$1198,3,FALSE),0)</f>
        <v>66001000</v>
      </c>
      <c r="I313" s="3" t="s">
        <v>7</v>
      </c>
      <c r="J313" s="3" t="s">
        <v>217</v>
      </c>
      <c r="K313" s="3" t="s">
        <v>219</v>
      </c>
      <c r="L313" s="12">
        <v>619420</v>
      </c>
      <c r="M313" s="11">
        <v>4105942</v>
      </c>
    </row>
    <row r="314" spans="1:13">
      <c r="A314" s="15">
        <v>46235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7">
        <f>IFERROR(VLOOKUP(F314,Hoja2!$K$2:$M$1198,2,FALSE),0)</f>
        <v>76001000</v>
      </c>
      <c r="H314" s="17">
        <f>IFERROR(VLOOKUP(F314,Hoja2!$K$2:$M$1198,3,FALSE),0)</f>
        <v>50001000</v>
      </c>
      <c r="I314" s="3" t="s">
        <v>7</v>
      </c>
      <c r="J314" s="3" t="s">
        <v>217</v>
      </c>
      <c r="K314" s="3" t="s">
        <v>219</v>
      </c>
      <c r="L314" s="12">
        <v>546091</v>
      </c>
      <c r="M314" s="11">
        <v>2859408</v>
      </c>
    </row>
    <row r="315" spans="1:13">
      <c r="A315" s="15">
        <v>46235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7">
        <f>IFERROR(VLOOKUP(F315,Hoja2!$K$2:$M$1198,2,FALSE),0)</f>
        <v>19142000</v>
      </c>
      <c r="H315" s="17">
        <f>IFERROR(VLOOKUP(F315,Hoja2!$K$2:$M$1198,3,FALSE),0)</f>
        <v>11001000</v>
      </c>
      <c r="I315" s="3" t="s">
        <v>7</v>
      </c>
      <c r="J315" s="3" t="s">
        <v>217</v>
      </c>
      <c r="K315" s="3" t="s">
        <v>219</v>
      </c>
      <c r="L315" s="12">
        <v>1041250</v>
      </c>
      <c r="M315" s="11">
        <v>2040308</v>
      </c>
    </row>
    <row r="316" spans="1:13">
      <c r="A316" s="15">
        <v>46235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7">
        <f>IFERROR(VLOOKUP(F316,Hoja2!$K$2:$M$1198,2,FALSE),0)</f>
        <v>76001000</v>
      </c>
      <c r="H316" s="17">
        <f>IFERROR(VLOOKUP(F316,Hoja2!$K$2:$M$1198,3,FALSE),0)</f>
        <v>44001000</v>
      </c>
      <c r="I316" s="3" t="s">
        <v>7</v>
      </c>
      <c r="J316" s="3" t="s">
        <v>217</v>
      </c>
      <c r="K316" s="3" t="s">
        <v>219</v>
      </c>
      <c r="L316" s="12">
        <v>694945</v>
      </c>
      <c r="M316" s="11">
        <v>5756171</v>
      </c>
    </row>
    <row r="317" spans="1:13">
      <c r="A317" s="15">
        <v>46235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7">
        <f>IFERROR(VLOOKUP(F317,Hoja2!$K$2:$M$1198,2,FALSE),0)</f>
        <v>76001000</v>
      </c>
      <c r="H317" s="17">
        <f>IFERROR(VLOOKUP(F317,Hoja2!$K$2:$M$1198,3,FALSE),0)</f>
        <v>73001000</v>
      </c>
      <c r="I317" s="3" t="s">
        <v>7</v>
      </c>
      <c r="J317" s="3" t="s">
        <v>217</v>
      </c>
      <c r="K317" s="3" t="s">
        <v>219</v>
      </c>
      <c r="L317" s="12">
        <v>1151920</v>
      </c>
      <c r="M317" s="11">
        <v>1926518</v>
      </c>
    </row>
    <row r="318" spans="1:13">
      <c r="A318" s="15">
        <v>46235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7">
        <f>IFERROR(VLOOKUP(F318,Hoja2!$K$2:$M$1198,2,FALSE),0)</f>
        <v>5360000</v>
      </c>
      <c r="H318" s="17">
        <f>IFERROR(VLOOKUP(F318,Hoja2!$K$2:$M$1198,3,FALSE),0)</f>
        <v>76892000</v>
      </c>
      <c r="I318" s="3" t="s">
        <v>7</v>
      </c>
      <c r="J318" s="3" t="s">
        <v>217</v>
      </c>
      <c r="K318" s="3" t="s">
        <v>219</v>
      </c>
      <c r="L318" s="12">
        <v>518840</v>
      </c>
      <c r="M318" s="11">
        <v>1863444</v>
      </c>
    </row>
    <row r="319" spans="1:13">
      <c r="A319" s="15">
        <v>46235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7">
        <f>IFERROR(VLOOKUP(F319,Hoja2!$K$2:$M$1198,2,FALSE),0)</f>
        <v>47001000</v>
      </c>
      <c r="H319" s="17">
        <f>IFERROR(VLOOKUP(F319,Hoja2!$K$2:$M$1198,3,FALSE),0)</f>
        <v>11001000</v>
      </c>
      <c r="I319" s="3" t="s">
        <v>7</v>
      </c>
      <c r="J319" s="3" t="s">
        <v>217</v>
      </c>
      <c r="K319" s="3" t="s">
        <v>219</v>
      </c>
      <c r="L319" s="12">
        <v>518820</v>
      </c>
      <c r="M319" s="11">
        <v>4189646</v>
      </c>
    </row>
    <row r="320" spans="1:13">
      <c r="A320" s="15">
        <v>46235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7">
        <f>IFERROR(VLOOKUP(F320,Hoja2!$K$2:$M$1198,2,FALSE),0)</f>
        <v>52835000</v>
      </c>
      <c r="H320" s="17">
        <f>IFERROR(VLOOKUP(F320,Hoja2!$K$2:$M$1198,3,FALSE),0)</f>
        <v>76892000</v>
      </c>
      <c r="I320" s="3" t="s">
        <v>7</v>
      </c>
      <c r="J320" s="3" t="s">
        <v>217</v>
      </c>
      <c r="K320" s="3" t="s">
        <v>219</v>
      </c>
      <c r="L320" s="12">
        <v>632092</v>
      </c>
      <c r="M320" s="11">
        <v>2993727</v>
      </c>
    </row>
    <row r="321" spans="1:13">
      <c r="A321" s="15">
        <v>46235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7">
        <f>IFERROR(VLOOKUP(F321,Hoja2!$K$2:$M$1198,2,FALSE),0)</f>
        <v>11001000</v>
      </c>
      <c r="H321" s="17">
        <f>IFERROR(VLOOKUP(F321,Hoja2!$K$2:$M$1198,3,FALSE),0)</f>
        <v>47001000</v>
      </c>
      <c r="I321" s="3" t="s">
        <v>7</v>
      </c>
      <c r="J321" s="3" t="s">
        <v>217</v>
      </c>
      <c r="K321" s="3" t="s">
        <v>219</v>
      </c>
      <c r="L321" s="12">
        <v>495040</v>
      </c>
      <c r="M321" s="11">
        <v>4149749</v>
      </c>
    </row>
    <row r="322" spans="1:13">
      <c r="A322" s="15">
        <v>46235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7">
        <f>IFERROR(VLOOKUP(F322,Hoja2!$K$2:$M$1198,2,FALSE),0)</f>
        <v>54001000</v>
      </c>
      <c r="H322" s="17">
        <f>IFERROR(VLOOKUP(F322,Hoja2!$K$2:$M$1198,3,FALSE),0)</f>
        <v>68547000</v>
      </c>
      <c r="I322" s="3" t="s">
        <v>7</v>
      </c>
      <c r="J322" s="3" t="s">
        <v>217</v>
      </c>
      <c r="K322" s="3" t="s">
        <v>219</v>
      </c>
      <c r="L322" s="12">
        <v>518840</v>
      </c>
      <c r="M322" s="11">
        <v>1197829</v>
      </c>
    </row>
    <row r="323" spans="1:13">
      <c r="A323" s="15">
        <v>46235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7">
        <f>IFERROR(VLOOKUP(F323,Hoja2!$K$2:$M$1198,2,FALSE),0)</f>
        <v>15238000</v>
      </c>
      <c r="H323" s="17">
        <f>IFERROR(VLOOKUP(F323,Hoja2!$K$2:$M$1198,3,FALSE),0)</f>
        <v>85001000</v>
      </c>
      <c r="I323" s="3" t="s">
        <v>7</v>
      </c>
      <c r="J323" s="3" t="s">
        <v>217</v>
      </c>
      <c r="K323" s="3" t="s">
        <v>219</v>
      </c>
      <c r="L323" s="12">
        <v>521220</v>
      </c>
      <c r="M323" s="11">
        <v>939090</v>
      </c>
    </row>
    <row r="324" spans="1:13">
      <c r="A324" s="15">
        <v>46235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7">
        <f>IFERROR(VLOOKUP(F324,Hoja2!$K$2:$M$1198,2,FALSE),0)</f>
        <v>68001000</v>
      </c>
      <c r="H324" s="17">
        <f>IFERROR(VLOOKUP(F324,Hoja2!$K$2:$M$1198,3,FALSE),0)</f>
        <v>23001000</v>
      </c>
      <c r="I324" s="3" t="s">
        <v>7</v>
      </c>
      <c r="J324" s="3" t="s">
        <v>217</v>
      </c>
      <c r="K324" s="3" t="s">
        <v>219</v>
      </c>
      <c r="L324" s="12">
        <v>781711</v>
      </c>
      <c r="M324" s="11">
        <v>2226973</v>
      </c>
    </row>
    <row r="325" spans="1:13">
      <c r="A325" s="15">
        <v>46235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7">
        <f>IFERROR(VLOOKUP(F325,Hoja2!$K$2:$M$1198,2,FALSE),0)</f>
        <v>68547000</v>
      </c>
      <c r="H325" s="17">
        <f>IFERROR(VLOOKUP(F325,Hoja2!$K$2:$M$1198,3,FALSE),0)</f>
        <v>73001000</v>
      </c>
      <c r="I325" s="3" t="s">
        <v>7</v>
      </c>
      <c r="J325" s="3" t="s">
        <v>217</v>
      </c>
      <c r="K325" s="3" t="s">
        <v>219</v>
      </c>
      <c r="L325" s="12">
        <v>518840</v>
      </c>
      <c r="M325" s="11">
        <v>2529327</v>
      </c>
    </row>
    <row r="326" spans="1:13">
      <c r="A326" s="15">
        <v>46235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7">
        <f>IFERROR(VLOOKUP(F326,Hoja2!$K$2:$M$1198,2,FALSE),0)</f>
        <v>8433000</v>
      </c>
      <c r="H326" s="17">
        <f>IFERROR(VLOOKUP(F326,Hoja2!$K$2:$M$1198,3,FALSE),0)</f>
        <v>18001000</v>
      </c>
      <c r="I326" s="3" t="s">
        <v>7</v>
      </c>
      <c r="J326" s="3" t="s">
        <v>217</v>
      </c>
      <c r="K326" s="3" t="s">
        <v>219</v>
      </c>
      <c r="L326" s="12">
        <v>660172</v>
      </c>
      <c r="M326" s="11">
        <v>5176931</v>
      </c>
    </row>
    <row r="327" spans="1:13">
      <c r="A327" s="15">
        <v>46235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7">
        <f>IFERROR(VLOOKUP(F327,Hoja2!$K$2:$M$1198,2,FALSE),0)</f>
        <v>8433000</v>
      </c>
      <c r="H327" s="17">
        <f>IFERROR(VLOOKUP(F327,Hoja2!$K$2:$M$1198,3,FALSE),0)</f>
        <v>52001000</v>
      </c>
      <c r="I327" s="3" t="s">
        <v>7</v>
      </c>
      <c r="J327" s="3" t="s">
        <v>217</v>
      </c>
      <c r="K327" s="3" t="s">
        <v>219</v>
      </c>
      <c r="L327" s="12">
        <v>632092</v>
      </c>
      <c r="M327" s="11">
        <v>6537725</v>
      </c>
    </row>
    <row r="328" spans="1:13">
      <c r="A328" s="15">
        <v>46235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7">
        <f>IFERROR(VLOOKUP(F328,Hoja2!$K$2:$M$1198,2,FALSE),0)</f>
        <v>76892000</v>
      </c>
      <c r="H328" s="17">
        <f>IFERROR(VLOOKUP(F328,Hoja2!$K$2:$M$1198,3,FALSE),0)</f>
        <v>68081000</v>
      </c>
      <c r="I328" s="3" t="s">
        <v>7</v>
      </c>
      <c r="J328" s="3" t="s">
        <v>217</v>
      </c>
      <c r="K328" s="3" t="s">
        <v>219</v>
      </c>
      <c r="L328" s="12">
        <v>1177321</v>
      </c>
      <c r="M328" s="11">
        <v>3923911</v>
      </c>
    </row>
    <row r="329" spans="1:13">
      <c r="A329" s="15">
        <v>46235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7">
        <f>IFERROR(VLOOKUP(F329,Hoja2!$K$2:$M$1198,2,FALSE),0)</f>
        <v>76892000</v>
      </c>
      <c r="H329" s="17">
        <f>IFERROR(VLOOKUP(F329,Hoja2!$K$2:$M$1198,3,FALSE),0)</f>
        <v>70001000</v>
      </c>
      <c r="I329" s="3" t="s">
        <v>7</v>
      </c>
      <c r="J329" s="3" t="s">
        <v>217</v>
      </c>
      <c r="K329" s="3" t="s">
        <v>219</v>
      </c>
      <c r="L329" s="12">
        <v>781711</v>
      </c>
      <c r="M329" s="11">
        <v>4016173</v>
      </c>
    </row>
    <row r="330" spans="1:13">
      <c r="A330" s="15">
        <v>46235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7">
        <f>IFERROR(VLOOKUP(F330,Hoja2!$K$2:$M$1198,2,FALSE),0)</f>
        <v>54001000</v>
      </c>
      <c r="H330" s="17">
        <f>IFERROR(VLOOKUP(F330,Hoja2!$K$2:$M$1198,3,FALSE),0)</f>
        <v>11001000</v>
      </c>
      <c r="I330" s="3" t="s">
        <v>7</v>
      </c>
      <c r="J330" s="3" t="s">
        <v>217</v>
      </c>
      <c r="K330" s="3" t="s">
        <v>219</v>
      </c>
      <c r="L330" s="12">
        <v>547548</v>
      </c>
      <c r="M330" s="11">
        <v>2835195</v>
      </c>
    </row>
    <row r="331" spans="1:13">
      <c r="A331" s="15">
        <v>46235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7">
        <f>IFERROR(VLOOKUP(F331,Hoja2!$K$2:$M$1198,2,FALSE),0)</f>
        <v>66001000</v>
      </c>
      <c r="H331" s="17">
        <f>IFERROR(VLOOKUP(F331,Hoja2!$K$2:$M$1198,3,FALSE),0)</f>
        <v>5001000</v>
      </c>
      <c r="I331" s="3" t="s">
        <v>7</v>
      </c>
      <c r="J331" s="3" t="s">
        <v>217</v>
      </c>
      <c r="K331" s="3" t="s">
        <v>219</v>
      </c>
      <c r="L331" s="12">
        <v>619420</v>
      </c>
      <c r="M331" s="11">
        <v>1193555</v>
      </c>
    </row>
    <row r="332" spans="1:13">
      <c r="A332" s="15">
        <v>46235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7">
        <f>IFERROR(VLOOKUP(F332,Hoja2!$K$2:$M$1198,2,FALSE),0)</f>
        <v>68547000</v>
      </c>
      <c r="H332" s="17">
        <f>IFERROR(VLOOKUP(F332,Hoja2!$K$2:$M$1198,3,FALSE),0)</f>
        <v>5001000</v>
      </c>
      <c r="I332" s="3" t="s">
        <v>7</v>
      </c>
      <c r="J332" s="3" t="s">
        <v>217</v>
      </c>
      <c r="K332" s="3" t="s">
        <v>219</v>
      </c>
      <c r="L332" s="12">
        <v>806884</v>
      </c>
      <c r="M332" s="11">
        <v>902628</v>
      </c>
    </row>
    <row r="333" spans="1:13">
      <c r="A333" s="15">
        <v>46235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7">
        <f>IFERROR(VLOOKUP(F333,Hoja2!$K$2:$M$1198,2,FALSE),0)</f>
        <v>5088000</v>
      </c>
      <c r="H333" s="17">
        <f>IFERROR(VLOOKUP(F333,Hoja2!$K$2:$M$1198,3,FALSE),0)</f>
        <v>11001000</v>
      </c>
      <c r="I333" s="3" t="s">
        <v>7</v>
      </c>
      <c r="J333" s="3" t="s">
        <v>217</v>
      </c>
      <c r="K333" s="3" t="s">
        <v>219</v>
      </c>
      <c r="L333" s="12">
        <v>518840</v>
      </c>
      <c r="M333" s="11">
        <v>1881622</v>
      </c>
    </row>
    <row r="334" spans="1:13">
      <c r="A334" s="15">
        <v>46235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7">
        <f>IFERROR(VLOOKUP(F334,Hoja2!$K$2:$M$1198,2,FALSE),0)</f>
        <v>11001000</v>
      </c>
      <c r="H334" s="17">
        <f>IFERROR(VLOOKUP(F334,Hoja2!$K$2:$M$1198,3,FALSE),0)</f>
        <v>44430000</v>
      </c>
      <c r="I334" s="3" t="s">
        <v>7</v>
      </c>
      <c r="J334" s="3" t="s">
        <v>217</v>
      </c>
      <c r="K334" s="3" t="s">
        <v>219</v>
      </c>
      <c r="L334" s="12">
        <v>710088</v>
      </c>
      <c r="M334" s="11">
        <v>4326793</v>
      </c>
    </row>
    <row r="335" spans="1:13">
      <c r="A335" s="15">
        <v>46235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7">
        <f>IFERROR(VLOOKUP(F335,Hoja2!$K$2:$M$1198,2,FALSE),0)</f>
        <v>11001000</v>
      </c>
      <c r="H335" s="17">
        <f>IFERROR(VLOOKUP(F335,Hoja2!$K$2:$M$1198,3,FALSE),0)</f>
        <v>25754000</v>
      </c>
      <c r="I335" s="3" t="s">
        <v>7</v>
      </c>
      <c r="J335" s="3" t="s">
        <v>217</v>
      </c>
      <c r="K335" s="3" t="s">
        <v>219</v>
      </c>
      <c r="L335" s="12">
        <v>518800</v>
      </c>
      <c r="M335" s="11">
        <v>285037</v>
      </c>
    </row>
    <row r="336" spans="1:13">
      <c r="A336" s="15">
        <v>46235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7">
        <f>IFERROR(VLOOKUP(F336,Hoja2!$K$2:$M$1198,2,FALSE),0)</f>
        <v>8433000</v>
      </c>
      <c r="H336" s="17">
        <f>IFERROR(VLOOKUP(F336,Hoja2!$K$2:$M$1198,3,FALSE),0)</f>
        <v>25899000</v>
      </c>
      <c r="I336" s="3" t="s">
        <v>7</v>
      </c>
      <c r="J336" s="3" t="s">
        <v>217</v>
      </c>
      <c r="K336" s="3" t="s">
        <v>219</v>
      </c>
      <c r="L336" s="12">
        <v>493969</v>
      </c>
      <c r="M336" s="11">
        <v>4155658</v>
      </c>
    </row>
    <row r="337" spans="1:13">
      <c r="A337" s="15">
        <v>46235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7">
        <f>IFERROR(VLOOKUP(F337,Hoja2!$K$2:$M$1198,2,FALSE),0)</f>
        <v>15238000</v>
      </c>
      <c r="H337" s="17">
        <f>IFERROR(VLOOKUP(F337,Hoja2!$K$2:$M$1198,3,FALSE),0)</f>
        <v>5001000</v>
      </c>
      <c r="I337" s="3" t="s">
        <v>7</v>
      </c>
      <c r="J337" s="3" t="s">
        <v>217</v>
      </c>
      <c r="K337" s="3" t="s">
        <v>219</v>
      </c>
      <c r="L337" s="12">
        <v>584949</v>
      </c>
      <c r="M337" s="11">
        <v>3981971</v>
      </c>
    </row>
    <row r="338" spans="1:13">
      <c r="A338" s="15">
        <v>46235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7">
        <f>IFERROR(VLOOKUP(F338,Hoja2!$K$2:$M$1198,2,FALSE),0)</f>
        <v>8433000</v>
      </c>
      <c r="H338" s="17">
        <f>IFERROR(VLOOKUP(F338,Hoja2!$K$2:$M$1198,3,FALSE),0)</f>
        <v>20060000</v>
      </c>
      <c r="I338" s="3" t="s">
        <v>7</v>
      </c>
      <c r="J338" s="3" t="s">
        <v>217</v>
      </c>
      <c r="K338" s="3" t="s">
        <v>219</v>
      </c>
      <c r="L338" s="12">
        <v>763647</v>
      </c>
      <c r="M338" s="11">
        <v>1129407</v>
      </c>
    </row>
    <row r="339" spans="1:13">
      <c r="A339" s="15">
        <v>46235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7">
        <f>IFERROR(VLOOKUP(F339,Hoja2!$K$2:$M$1198,2,FALSE),0)</f>
        <v>11001000</v>
      </c>
      <c r="H339" s="17">
        <f>IFERROR(VLOOKUP(F339,Hoja2!$K$2:$M$1198,3,FALSE),0)</f>
        <v>76364000</v>
      </c>
      <c r="I339" s="3" t="s">
        <v>7</v>
      </c>
      <c r="J339" s="3" t="s">
        <v>217</v>
      </c>
      <c r="K339" s="3" t="s">
        <v>219</v>
      </c>
      <c r="L339" s="12">
        <v>572398</v>
      </c>
      <c r="M339" s="11">
        <v>2115921</v>
      </c>
    </row>
    <row r="340" spans="1:13">
      <c r="A340" s="15">
        <v>46235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7">
        <f>IFERROR(VLOOKUP(F340,Hoja2!$K$2:$M$1198,2,FALSE),0)</f>
        <v>15238000</v>
      </c>
      <c r="H340" s="17">
        <f>IFERROR(VLOOKUP(F340,Hoja2!$K$2:$M$1198,3,FALSE),0)</f>
        <v>76001000</v>
      </c>
      <c r="I340" s="3" t="s">
        <v>7</v>
      </c>
      <c r="J340" s="3" t="s">
        <v>217</v>
      </c>
      <c r="K340" s="3" t="s">
        <v>219</v>
      </c>
      <c r="L340" s="12">
        <v>547547</v>
      </c>
      <c r="M340" s="11">
        <v>2996627</v>
      </c>
    </row>
    <row r="341" spans="1:13">
      <c r="A341" s="15">
        <v>46235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7">
        <f>IFERROR(VLOOKUP(F341,Hoja2!$K$2:$M$1198,2,FALSE),0)</f>
        <v>5088000</v>
      </c>
      <c r="H341" s="17">
        <f>IFERROR(VLOOKUP(F341,Hoja2!$K$2:$M$1198,3,FALSE),0)</f>
        <v>11001000</v>
      </c>
      <c r="I341" s="3" t="s">
        <v>7</v>
      </c>
      <c r="J341" s="3" t="s">
        <v>217</v>
      </c>
      <c r="K341" s="3" t="s">
        <v>219</v>
      </c>
      <c r="L341" s="12">
        <v>494751</v>
      </c>
      <c r="M341" s="11">
        <v>2697398</v>
      </c>
    </row>
    <row r="342" spans="1:13">
      <c r="A342" s="15">
        <v>46235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7">
        <f>IFERROR(VLOOKUP(F342,Hoja2!$K$2:$M$1198,2,FALSE),0)</f>
        <v>52835000</v>
      </c>
      <c r="H342" s="17">
        <f>IFERROR(VLOOKUP(F342,Hoja2!$K$2:$M$1198,3,FALSE),0)</f>
        <v>52356000</v>
      </c>
      <c r="I342" s="3" t="s">
        <v>7</v>
      </c>
      <c r="J342" s="3" t="s">
        <v>217</v>
      </c>
      <c r="K342" s="3" t="s">
        <v>219</v>
      </c>
      <c r="L342" s="12">
        <v>702344</v>
      </c>
      <c r="M342" s="11">
        <v>1562357</v>
      </c>
    </row>
    <row r="343" spans="1:13">
      <c r="A343" s="15">
        <v>46235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7">
        <f>IFERROR(VLOOKUP(F343,Hoja2!$K$2:$M$1198,2,FALSE),0)</f>
        <v>76892000</v>
      </c>
      <c r="H343" s="17">
        <f>IFERROR(VLOOKUP(F343,Hoja2!$K$2:$M$1198,3,FALSE),0)</f>
        <v>76895000</v>
      </c>
      <c r="I343" s="3" t="s">
        <v>7</v>
      </c>
      <c r="J343" s="3" t="s">
        <v>217</v>
      </c>
      <c r="K343" s="3" t="s">
        <v>219</v>
      </c>
      <c r="L343" s="12">
        <v>495637</v>
      </c>
      <c r="M343" s="11">
        <v>840419</v>
      </c>
    </row>
    <row r="344" spans="1:13">
      <c r="A344" s="15">
        <v>46235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7">
        <f>IFERROR(VLOOKUP(F344,Hoja2!$K$2:$M$1198,2,FALSE),0)</f>
        <v>5088000</v>
      </c>
      <c r="H344" s="17">
        <f>IFERROR(VLOOKUP(F344,Hoja2!$K$2:$M$1198,3,FALSE),0)</f>
        <v>73001000</v>
      </c>
      <c r="I344" s="3" t="s">
        <v>7</v>
      </c>
      <c r="J344" s="3" t="s">
        <v>217</v>
      </c>
      <c r="K344" s="3" t="s">
        <v>219</v>
      </c>
      <c r="L344" s="12">
        <v>518840</v>
      </c>
      <c r="M344" s="11">
        <v>1888896</v>
      </c>
    </row>
    <row r="345" spans="1:13">
      <c r="A345" s="15">
        <v>46235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7">
        <f>IFERROR(VLOOKUP(F345,Hoja2!$K$2:$M$1198,2,FALSE),0)</f>
        <v>25799000</v>
      </c>
      <c r="H345" s="17">
        <f>IFERROR(VLOOKUP(F345,Hoja2!$K$2:$M$1198,3,FALSE),0)</f>
        <v>63001000</v>
      </c>
      <c r="I345" s="3" t="s">
        <v>7</v>
      </c>
      <c r="J345" s="3" t="s">
        <v>217</v>
      </c>
      <c r="K345" s="3" t="s">
        <v>219</v>
      </c>
      <c r="L345" s="12">
        <v>619420</v>
      </c>
      <c r="M345" s="11">
        <v>1629063</v>
      </c>
    </row>
    <row r="346" spans="1:13">
      <c r="A346" s="15">
        <v>46235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7">
        <f>IFERROR(VLOOKUP(F346,Hoja2!$K$2:$M$1198,2,FALSE),0)</f>
        <v>11001000</v>
      </c>
      <c r="H346" s="17">
        <f>IFERROR(VLOOKUP(F346,Hoja2!$K$2:$M$1198,3,FALSE),0)</f>
        <v>17001000</v>
      </c>
      <c r="I346" s="3" t="s">
        <v>7</v>
      </c>
      <c r="J346" s="3" t="s">
        <v>217</v>
      </c>
      <c r="K346" s="3" t="s">
        <v>219</v>
      </c>
      <c r="L346" s="12">
        <v>806518</v>
      </c>
      <c r="M346" s="11">
        <v>1580849</v>
      </c>
    </row>
    <row r="347" spans="1:13">
      <c r="A347" s="15">
        <v>46235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7">
        <f>IFERROR(VLOOKUP(F347,Hoja2!$K$2:$M$1198,2,FALSE),0)</f>
        <v>11001000</v>
      </c>
      <c r="H347" s="17">
        <f>IFERROR(VLOOKUP(F347,Hoja2!$K$2:$M$1198,3,FALSE),0)</f>
        <v>70001000</v>
      </c>
      <c r="I347" s="3" t="s">
        <v>7</v>
      </c>
      <c r="J347" s="3" t="s">
        <v>217</v>
      </c>
      <c r="K347" s="3" t="s">
        <v>219</v>
      </c>
      <c r="L347" s="12">
        <v>781691</v>
      </c>
      <c r="M347" s="11">
        <v>3965468</v>
      </c>
    </row>
    <row r="348" spans="1:13">
      <c r="A348" s="15">
        <v>46235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7">
        <f>IFERROR(VLOOKUP(F348,Hoja2!$K$2:$M$1198,2,FALSE),0)</f>
        <v>11001000</v>
      </c>
      <c r="H348" s="17">
        <f>IFERROR(VLOOKUP(F348,Hoja2!$K$2:$M$1198,3,FALSE),0)</f>
        <v>63001000</v>
      </c>
      <c r="I348" s="3" t="s">
        <v>7</v>
      </c>
      <c r="J348" s="3" t="s">
        <v>217</v>
      </c>
      <c r="K348" s="3" t="s">
        <v>219</v>
      </c>
      <c r="L348" s="12">
        <v>806518</v>
      </c>
      <c r="M348" s="11">
        <v>1583635</v>
      </c>
    </row>
    <row r="349" spans="1:13">
      <c r="A349" s="15">
        <v>46235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7">
        <f>IFERROR(VLOOKUP(F349,Hoja2!$K$2:$M$1198,2,FALSE),0)</f>
        <v>8433000</v>
      </c>
      <c r="H349" s="17">
        <f>IFERROR(VLOOKUP(F349,Hoja2!$K$2:$M$1198,3,FALSE),0)</f>
        <v>41001000</v>
      </c>
      <c r="I349" s="3" t="s">
        <v>7</v>
      </c>
      <c r="J349" s="3" t="s">
        <v>217</v>
      </c>
      <c r="K349" s="3" t="s">
        <v>219</v>
      </c>
      <c r="L349" s="12">
        <v>1092420</v>
      </c>
      <c r="M349" s="11">
        <v>5588116</v>
      </c>
    </row>
    <row r="350" spans="1:13">
      <c r="A350" s="15">
        <v>46235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7">
        <f>IFERROR(VLOOKUP(F350,Hoja2!$K$2:$M$1198,2,FALSE),0)</f>
        <v>76892000</v>
      </c>
      <c r="H350" s="17">
        <f>IFERROR(VLOOKUP(F350,Hoja2!$K$2:$M$1198,3,FALSE),0)</f>
        <v>73001000</v>
      </c>
      <c r="I350" s="3" t="s">
        <v>7</v>
      </c>
      <c r="J350" s="3" t="s">
        <v>217</v>
      </c>
      <c r="K350" s="3" t="s">
        <v>219</v>
      </c>
      <c r="L350" s="12">
        <v>1151920</v>
      </c>
      <c r="M350" s="11">
        <v>1808209</v>
      </c>
    </row>
    <row r="351" spans="1:13">
      <c r="A351" s="15">
        <v>46235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7">
        <f>IFERROR(VLOOKUP(F351,Hoja2!$K$2:$M$1198,2,FALSE),0)</f>
        <v>8433000</v>
      </c>
      <c r="H351" s="17">
        <f>IFERROR(VLOOKUP(F351,Hoja2!$K$2:$M$1198,3,FALSE),0)</f>
        <v>44430000</v>
      </c>
      <c r="I351" s="3" t="s">
        <v>7</v>
      </c>
      <c r="J351" s="3" t="s">
        <v>217</v>
      </c>
      <c r="K351" s="3" t="s">
        <v>219</v>
      </c>
      <c r="L351" s="12">
        <v>694945</v>
      </c>
      <c r="M351" s="11">
        <v>1755806</v>
      </c>
    </row>
    <row r="352" spans="1:13">
      <c r="A352" s="15">
        <v>46235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7">
        <f>IFERROR(VLOOKUP(F352,Hoja2!$K$2:$M$1198,2,FALSE),0)</f>
        <v>25799000</v>
      </c>
      <c r="H352" s="17">
        <f>IFERROR(VLOOKUP(F352,Hoja2!$K$2:$M$1198,3,FALSE),0)</f>
        <v>5360000</v>
      </c>
      <c r="I352" s="3" t="s">
        <v>7</v>
      </c>
      <c r="J352" s="3" t="s">
        <v>217</v>
      </c>
      <c r="K352" s="3" t="s">
        <v>219</v>
      </c>
      <c r="L352" s="12">
        <v>518840</v>
      </c>
      <c r="M352" s="11">
        <v>1973800</v>
      </c>
    </row>
    <row r="353" spans="1:13">
      <c r="A353" s="15">
        <v>46235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7">
        <f>IFERROR(VLOOKUP(F353,Hoja2!$K$2:$M$1198,2,FALSE),0)</f>
        <v>25799000</v>
      </c>
      <c r="H353" s="17">
        <f>IFERROR(VLOOKUP(F353,Hoja2!$K$2:$M$1198,3,FALSE),0)</f>
        <v>54001000</v>
      </c>
      <c r="I353" s="3" t="s">
        <v>7</v>
      </c>
      <c r="J353" s="3" t="s">
        <v>217</v>
      </c>
      <c r="K353" s="3" t="s">
        <v>219</v>
      </c>
      <c r="L353" s="12">
        <v>518840</v>
      </c>
      <c r="M353" s="11">
        <v>2777192</v>
      </c>
    </row>
    <row r="354" spans="1:13">
      <c r="A354" s="15">
        <v>46235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7">
        <f>IFERROR(VLOOKUP(F354,Hoja2!$K$2:$M$1198,2,FALSE),0)</f>
        <v>76001000</v>
      </c>
      <c r="H354" s="17">
        <f>IFERROR(VLOOKUP(F354,Hoja2!$K$2:$M$1198,3,FALSE),0)</f>
        <v>15238000</v>
      </c>
      <c r="I354" s="3" t="s">
        <v>7</v>
      </c>
      <c r="J354" s="3" t="s">
        <v>217</v>
      </c>
      <c r="K354" s="3" t="s">
        <v>219</v>
      </c>
      <c r="L354" s="12">
        <v>546091</v>
      </c>
      <c r="M354" s="11">
        <v>2822076</v>
      </c>
    </row>
    <row r="355" spans="1:13">
      <c r="A355" s="15">
        <v>46235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7">
        <f>IFERROR(VLOOKUP(F355,Hoja2!$K$2:$M$1198,2,FALSE),0)</f>
        <v>25799000</v>
      </c>
      <c r="H355" s="17">
        <f>IFERROR(VLOOKUP(F355,Hoja2!$K$2:$M$1198,3,FALSE),0)</f>
        <v>15238000</v>
      </c>
      <c r="I355" s="3" t="s">
        <v>7</v>
      </c>
      <c r="J355" s="3" t="s">
        <v>217</v>
      </c>
      <c r="K355" s="3" t="s">
        <v>219</v>
      </c>
      <c r="L355" s="12">
        <v>493969</v>
      </c>
      <c r="M355" s="11">
        <v>1040354</v>
      </c>
    </row>
    <row r="356" spans="1:13">
      <c r="A356" s="15">
        <v>46235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7">
        <f>IFERROR(VLOOKUP(F356,Hoja2!$K$2:$M$1198,2,FALSE),0)</f>
        <v>25799000</v>
      </c>
      <c r="H356" s="17">
        <f>IFERROR(VLOOKUP(F356,Hoja2!$K$2:$M$1198,3,FALSE),0)</f>
        <v>68001000</v>
      </c>
      <c r="I356" s="3" t="s">
        <v>7</v>
      </c>
      <c r="J356" s="3" t="s">
        <v>217</v>
      </c>
      <c r="K356" s="3" t="s">
        <v>219</v>
      </c>
      <c r="L356" s="12">
        <v>518840</v>
      </c>
      <c r="M356" s="11">
        <v>1858802</v>
      </c>
    </row>
    <row r="357" spans="1:13">
      <c r="A357" s="15">
        <v>46235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7">
        <f>IFERROR(VLOOKUP(F357,Hoja2!$K$2:$M$1198,2,FALSE),0)</f>
        <v>25799000</v>
      </c>
      <c r="H357" s="17">
        <f>IFERROR(VLOOKUP(F357,Hoja2!$K$2:$M$1198,3,FALSE),0)</f>
        <v>66170000</v>
      </c>
      <c r="I357" s="3" t="s">
        <v>7</v>
      </c>
      <c r="J357" s="3" t="s">
        <v>217</v>
      </c>
      <c r="K357" s="3" t="s">
        <v>219</v>
      </c>
      <c r="L357" s="12">
        <v>619420</v>
      </c>
      <c r="M357" s="11">
        <v>1722033</v>
      </c>
    </row>
    <row r="358" spans="1:13">
      <c r="A358" s="15">
        <v>46235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7">
        <f>IFERROR(VLOOKUP(F358,Hoja2!$K$2:$M$1198,2,FALSE),0)</f>
        <v>11001000</v>
      </c>
      <c r="H358" s="17">
        <f>IFERROR(VLOOKUP(F358,Hoja2!$K$2:$M$1198,3,FALSE),0)</f>
        <v>18001000</v>
      </c>
      <c r="I358" s="3" t="s">
        <v>7</v>
      </c>
      <c r="J358" s="3" t="s">
        <v>217</v>
      </c>
      <c r="K358" s="3" t="s">
        <v>219</v>
      </c>
      <c r="L358" s="12">
        <v>710088</v>
      </c>
      <c r="M358" s="11">
        <v>2600148</v>
      </c>
    </row>
    <row r="359" spans="1:13">
      <c r="A359" s="15">
        <v>46235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7">
        <f>IFERROR(VLOOKUP(F359,Hoja2!$K$2:$M$1198,2,FALSE),0)</f>
        <v>11001000</v>
      </c>
      <c r="H359" s="17">
        <f>IFERROR(VLOOKUP(F359,Hoja2!$K$2:$M$1198,3,FALSE),0)</f>
        <v>15001000</v>
      </c>
      <c r="I359" s="3" t="s">
        <v>7</v>
      </c>
      <c r="J359" s="3" t="s">
        <v>217</v>
      </c>
      <c r="K359" s="3" t="s">
        <v>219</v>
      </c>
      <c r="L359" s="12">
        <v>509811</v>
      </c>
      <c r="M359" s="11">
        <v>916957</v>
      </c>
    </row>
    <row r="360" spans="1:13">
      <c r="A360" s="15">
        <v>46235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7">
        <f>IFERROR(VLOOKUP(F360,Hoja2!$K$2:$M$1198,2,FALSE),0)</f>
        <v>11001000</v>
      </c>
      <c r="H360" s="17">
        <f>IFERROR(VLOOKUP(F360,Hoja2!$K$2:$M$1198,3,FALSE),0)</f>
        <v>23001000</v>
      </c>
      <c r="I360" s="3" t="s">
        <v>7</v>
      </c>
      <c r="J360" s="3" t="s">
        <v>217</v>
      </c>
      <c r="K360" s="3" t="s">
        <v>219</v>
      </c>
      <c r="L360" s="12">
        <v>510510</v>
      </c>
      <c r="M360" s="11">
        <v>3753270</v>
      </c>
    </row>
    <row r="361" spans="1:13">
      <c r="A361" s="15">
        <v>46235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7">
        <f>IFERROR(VLOOKUP(F361,Hoja2!$K$2:$M$1198,2,FALSE),0)</f>
        <v>11001000</v>
      </c>
      <c r="H361" s="17">
        <f>IFERROR(VLOOKUP(F361,Hoja2!$K$2:$M$1198,3,FALSE),0)</f>
        <v>20001000</v>
      </c>
      <c r="I361" s="3" t="s">
        <v>7</v>
      </c>
      <c r="J361" s="3" t="s">
        <v>217</v>
      </c>
      <c r="K361" s="3" t="s">
        <v>219</v>
      </c>
      <c r="L361" s="12">
        <v>523076</v>
      </c>
      <c r="M361" s="11">
        <v>3894531</v>
      </c>
    </row>
    <row r="362" spans="1:13">
      <c r="A362" s="15">
        <v>46235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7">
        <f>IFERROR(VLOOKUP(F362,Hoja2!$K$2:$M$1198,2,FALSE),0)</f>
        <v>11001000</v>
      </c>
      <c r="H362" s="17">
        <f>IFERROR(VLOOKUP(F362,Hoja2!$K$2:$M$1198,3,FALSE),0)</f>
        <v>50001000</v>
      </c>
      <c r="I362" s="3" t="s">
        <v>7</v>
      </c>
      <c r="J362" s="3" t="s">
        <v>217</v>
      </c>
      <c r="K362" s="3" t="s">
        <v>219</v>
      </c>
      <c r="L362" s="12">
        <v>618124</v>
      </c>
      <c r="M362" s="11">
        <v>901260</v>
      </c>
    </row>
    <row r="363" spans="1:13">
      <c r="A363" s="15">
        <v>46235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7">
        <f>IFERROR(VLOOKUP(F363,Hoja2!$K$2:$M$1198,2,FALSE),0)</f>
        <v>11001000</v>
      </c>
      <c r="H363" s="17">
        <f>IFERROR(VLOOKUP(F363,Hoja2!$K$2:$M$1198,3,FALSE),0)</f>
        <v>76111000</v>
      </c>
      <c r="I363" s="3" t="s">
        <v>7</v>
      </c>
      <c r="J363" s="3" t="s">
        <v>217</v>
      </c>
      <c r="K363" s="3" t="s">
        <v>219</v>
      </c>
      <c r="L363" s="12">
        <v>694119</v>
      </c>
      <c r="M363" s="11">
        <v>1859798</v>
      </c>
    </row>
    <row r="364" spans="1:13">
      <c r="A364" s="15">
        <v>46235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7">
        <f>IFERROR(VLOOKUP(F364,Hoja2!$K$2:$M$1198,2,FALSE),0)</f>
        <v>11001000</v>
      </c>
      <c r="H364" s="17">
        <f>IFERROR(VLOOKUP(F364,Hoja2!$K$2:$M$1198,3,FALSE),0)</f>
        <v>66001000</v>
      </c>
      <c r="I364" s="3" t="s">
        <v>7</v>
      </c>
      <c r="J364" s="3" t="s">
        <v>217</v>
      </c>
      <c r="K364" s="3" t="s">
        <v>219</v>
      </c>
      <c r="L364" s="12">
        <v>619400</v>
      </c>
      <c r="M364" s="11">
        <v>1651430</v>
      </c>
    </row>
    <row r="365" spans="1:13">
      <c r="A365" s="15">
        <v>46235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7">
        <f>IFERROR(VLOOKUP(F365,Hoja2!$K$2:$M$1198,2,FALSE),0)</f>
        <v>68001000</v>
      </c>
      <c r="H365" s="17">
        <f>IFERROR(VLOOKUP(F365,Hoja2!$K$2:$M$1198,3,FALSE),0)</f>
        <v>47001000</v>
      </c>
      <c r="I365" s="3" t="s">
        <v>7</v>
      </c>
      <c r="J365" s="3" t="s">
        <v>217</v>
      </c>
      <c r="K365" s="3" t="s">
        <v>219</v>
      </c>
      <c r="L365" s="12">
        <v>518840</v>
      </c>
      <c r="M365" s="11">
        <v>2566325</v>
      </c>
    </row>
    <row r="366" spans="1:13">
      <c r="A366" s="15">
        <v>46235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7">
        <f>IFERROR(VLOOKUP(F366,Hoja2!$K$2:$M$1198,2,FALSE),0)</f>
        <v>68001000</v>
      </c>
      <c r="H366" s="17">
        <f>IFERROR(VLOOKUP(F366,Hoja2!$K$2:$M$1198,3,FALSE),0)</f>
        <v>66170000</v>
      </c>
      <c r="I366" s="3" t="s">
        <v>7</v>
      </c>
      <c r="J366" s="3" t="s">
        <v>217</v>
      </c>
      <c r="K366" s="3" t="s">
        <v>219</v>
      </c>
      <c r="L366" s="12">
        <v>619420</v>
      </c>
      <c r="M366" s="11">
        <v>2642539</v>
      </c>
    </row>
    <row r="367" spans="1:13">
      <c r="A367" s="15">
        <v>46235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7">
        <f>IFERROR(VLOOKUP(F367,Hoja2!$K$2:$M$1198,2,FALSE),0)</f>
        <v>68547000</v>
      </c>
      <c r="H367" s="17">
        <f>IFERROR(VLOOKUP(F367,Hoja2!$K$2:$M$1198,3,FALSE),0)</f>
        <v>5001000</v>
      </c>
      <c r="I367" s="3" t="s">
        <v>7</v>
      </c>
      <c r="J367" s="3" t="s">
        <v>217</v>
      </c>
      <c r="K367" s="3" t="s">
        <v>219</v>
      </c>
      <c r="L367" s="12">
        <v>518840</v>
      </c>
      <c r="M367" s="11">
        <v>1988587</v>
      </c>
    </row>
    <row r="368" spans="1:13">
      <c r="A368" s="15">
        <v>46235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7">
        <f>IFERROR(VLOOKUP(F368,Hoja2!$K$2:$M$1198,2,FALSE),0)</f>
        <v>11001000</v>
      </c>
      <c r="H368" s="17">
        <f>IFERROR(VLOOKUP(F368,Hoja2!$K$2:$M$1198,3,FALSE),0)</f>
        <v>25754000</v>
      </c>
      <c r="I368" s="3" t="s">
        <v>7</v>
      </c>
      <c r="J368" s="3" t="s">
        <v>217</v>
      </c>
      <c r="K368" s="3" t="s">
        <v>219</v>
      </c>
      <c r="L368" s="12">
        <v>495020</v>
      </c>
      <c r="M368" s="11">
        <v>277471</v>
      </c>
    </row>
    <row r="369" spans="1:13">
      <c r="A369" s="15">
        <v>46235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7">
        <f>IFERROR(VLOOKUP(F369,Hoja2!$K$2:$M$1198,2,FALSE),0)</f>
        <v>11001000</v>
      </c>
      <c r="H369" s="17">
        <f>IFERROR(VLOOKUP(F369,Hoja2!$K$2:$M$1198,3,FALSE),0)</f>
        <v>17380000</v>
      </c>
      <c r="I369" s="3" t="s">
        <v>7</v>
      </c>
      <c r="J369" s="3" t="s">
        <v>217</v>
      </c>
      <c r="K369" s="3" t="s">
        <v>219</v>
      </c>
      <c r="L369" s="12">
        <v>1041230</v>
      </c>
      <c r="M369" s="11">
        <v>1068876</v>
      </c>
    </row>
    <row r="370" spans="1:13">
      <c r="A370" s="15">
        <v>46235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7">
        <f>IFERROR(VLOOKUP(F370,Hoja2!$K$2:$M$1198,2,FALSE),0)</f>
        <v>11001000</v>
      </c>
      <c r="H370" s="17">
        <f>IFERROR(VLOOKUP(F370,Hoja2!$K$2:$M$1198,3,FALSE),0)</f>
        <v>68001000</v>
      </c>
      <c r="I370" s="3" t="s">
        <v>7</v>
      </c>
      <c r="J370" s="3" t="s">
        <v>217</v>
      </c>
      <c r="K370" s="3" t="s">
        <v>219</v>
      </c>
      <c r="L370" s="12">
        <v>981843</v>
      </c>
      <c r="M370" s="11">
        <v>1576226</v>
      </c>
    </row>
    <row r="371" spans="1:13">
      <c r="A371" s="15">
        <v>46235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7">
        <f>IFERROR(VLOOKUP(F371,Hoja2!$K$2:$M$1198,2,FALSE),0)</f>
        <v>5001000</v>
      </c>
      <c r="H371" s="17">
        <f>IFERROR(VLOOKUP(F371,Hoja2!$K$2:$M$1198,3,FALSE),0)</f>
        <v>76001000</v>
      </c>
      <c r="I371" s="3" t="s">
        <v>7</v>
      </c>
      <c r="J371" s="3" t="s">
        <v>217</v>
      </c>
      <c r="K371" s="3" t="s">
        <v>219</v>
      </c>
      <c r="L371" s="12">
        <v>572418</v>
      </c>
      <c r="M371" s="11">
        <v>2061160</v>
      </c>
    </row>
    <row r="372" spans="1:13">
      <c r="A372" s="15">
        <v>46235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7">
        <f>IFERROR(VLOOKUP(F372,Hoja2!$K$2:$M$1198,2,FALSE),0)</f>
        <v>5001000</v>
      </c>
      <c r="H372" s="17">
        <f>IFERROR(VLOOKUP(F372,Hoja2!$K$2:$M$1198,3,FALSE),0)</f>
        <v>52001000</v>
      </c>
      <c r="I372" s="3" t="s">
        <v>7</v>
      </c>
      <c r="J372" s="3" t="s">
        <v>217</v>
      </c>
      <c r="K372" s="3" t="s">
        <v>219</v>
      </c>
      <c r="L372" s="12">
        <v>632092</v>
      </c>
      <c r="M372" s="11">
        <v>3196113</v>
      </c>
    </row>
    <row r="373" spans="1:13">
      <c r="A373" s="15">
        <v>46235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7">
        <f>IFERROR(VLOOKUP(F373,Hoja2!$K$2:$M$1198,2,FALSE),0)</f>
        <v>66001000</v>
      </c>
      <c r="H373" s="17">
        <f>IFERROR(VLOOKUP(F373,Hoja2!$K$2:$M$1198,3,FALSE),0)</f>
        <v>23001000</v>
      </c>
      <c r="I373" s="3" t="s">
        <v>7</v>
      </c>
      <c r="J373" s="3" t="s">
        <v>217</v>
      </c>
      <c r="K373" s="3" t="s">
        <v>219</v>
      </c>
      <c r="L373" s="12">
        <v>634890</v>
      </c>
      <c r="M373" s="11">
        <v>2799634</v>
      </c>
    </row>
    <row r="374" spans="1:13">
      <c r="A374" s="15">
        <v>46235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7">
        <f>IFERROR(VLOOKUP(F374,Hoja2!$K$2:$M$1198,2,FALSE),0)</f>
        <v>76892000</v>
      </c>
      <c r="H374" s="17">
        <f>IFERROR(VLOOKUP(F374,Hoja2!$K$2:$M$1198,3,FALSE),0)</f>
        <v>15238000</v>
      </c>
      <c r="I374" s="3" t="s">
        <v>7</v>
      </c>
      <c r="J374" s="3" t="s">
        <v>217</v>
      </c>
      <c r="K374" s="3" t="s">
        <v>219</v>
      </c>
      <c r="L374" s="12">
        <v>546091</v>
      </c>
      <c r="M374" s="11">
        <v>2824570</v>
      </c>
    </row>
    <row r="375" spans="1:13">
      <c r="A375" s="15">
        <v>46235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7">
        <f>IFERROR(VLOOKUP(F375,Hoja2!$K$2:$M$1198,2,FALSE),0)</f>
        <v>68547000</v>
      </c>
      <c r="H375" s="17">
        <f>IFERROR(VLOOKUP(F375,Hoja2!$K$2:$M$1198,3,FALSE),0)</f>
        <v>54498000</v>
      </c>
      <c r="I375" s="3" t="s">
        <v>7</v>
      </c>
      <c r="J375" s="3" t="s">
        <v>217</v>
      </c>
      <c r="K375" s="3" t="s">
        <v>219</v>
      </c>
      <c r="L375" s="12">
        <v>1177321</v>
      </c>
      <c r="M375" s="11">
        <v>1196170</v>
      </c>
    </row>
    <row r="376" spans="1:13">
      <c r="A376" s="15">
        <v>46235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7">
        <f>IFERROR(VLOOKUP(F376,Hoja2!$K$2:$M$1198,2,FALSE),0)</f>
        <v>11001000</v>
      </c>
      <c r="H376" s="17">
        <f>IFERROR(VLOOKUP(F376,Hoja2!$K$2:$M$1198,3,FALSE),0)</f>
        <v>50313000</v>
      </c>
      <c r="I376" s="3" t="s">
        <v>7</v>
      </c>
      <c r="J376" s="3" t="s">
        <v>217</v>
      </c>
      <c r="K376" s="3" t="s">
        <v>219</v>
      </c>
      <c r="L376" s="12">
        <v>546071</v>
      </c>
      <c r="M376" s="11">
        <v>1076356</v>
      </c>
    </row>
    <row r="377" spans="1:13">
      <c r="A377" s="15">
        <v>46235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7">
        <f>IFERROR(VLOOKUP(F377,Hoja2!$K$2:$M$1198,2,FALSE),0)</f>
        <v>15238000</v>
      </c>
      <c r="H377" s="17">
        <f>IFERROR(VLOOKUP(F377,Hoja2!$K$2:$M$1198,3,FALSE),0)</f>
        <v>15001000</v>
      </c>
      <c r="I377" s="3" t="s">
        <v>7</v>
      </c>
      <c r="J377" s="3" t="s">
        <v>217</v>
      </c>
      <c r="K377" s="3" t="s">
        <v>219</v>
      </c>
      <c r="L377" s="12">
        <v>492779</v>
      </c>
      <c r="M377" s="11">
        <v>639851</v>
      </c>
    </row>
    <row r="378" spans="1:13">
      <c r="A378" s="15">
        <v>46235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7">
        <f>IFERROR(VLOOKUP(F378,Hoja2!$K$2:$M$1198,2,FALSE),0)</f>
        <v>0</v>
      </c>
      <c r="H378" s="17">
        <f>IFERROR(VLOOKUP(F378,Hoja2!$K$2:$M$1198,3,FALSE),0)</f>
        <v>0</v>
      </c>
      <c r="I378" s="3" t="s">
        <v>7</v>
      </c>
      <c r="J378" s="3" t="s">
        <v>217</v>
      </c>
      <c r="K378" s="3" t="s">
        <v>219</v>
      </c>
      <c r="L378" s="12">
        <v>574738</v>
      </c>
      <c r="M378" s="11">
        <v>1856686</v>
      </c>
    </row>
    <row r="379" spans="1:13">
      <c r="A379" s="15">
        <v>46235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7">
        <f>IFERROR(VLOOKUP(F379,Hoja2!$K$2:$M$1198,2,FALSE),0)</f>
        <v>5001000</v>
      </c>
      <c r="H379" s="17">
        <f>IFERROR(VLOOKUP(F379,Hoja2!$K$2:$M$1198,3,FALSE),0)</f>
        <v>20001000</v>
      </c>
      <c r="I379" s="3" t="s">
        <v>7</v>
      </c>
      <c r="J379" s="3" t="s">
        <v>217</v>
      </c>
      <c r="K379" s="3" t="s">
        <v>219</v>
      </c>
      <c r="L379" s="12">
        <v>546876</v>
      </c>
      <c r="M379" s="11">
        <v>3060447</v>
      </c>
    </row>
    <row r="380" spans="1:13">
      <c r="A380" s="15">
        <v>46235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7">
        <f>IFERROR(VLOOKUP(F380,Hoja2!$K$2:$M$1198,2,FALSE),0)</f>
        <v>66001000</v>
      </c>
      <c r="H380" s="17">
        <f>IFERROR(VLOOKUP(F380,Hoja2!$K$2:$M$1198,3,FALSE),0)</f>
        <v>66170000</v>
      </c>
      <c r="I380" s="3" t="s">
        <v>7</v>
      </c>
      <c r="J380" s="3" t="s">
        <v>217</v>
      </c>
      <c r="K380" s="3" t="s">
        <v>219</v>
      </c>
      <c r="L380" s="12">
        <v>720000</v>
      </c>
      <c r="M380" s="11">
        <v>451945</v>
      </c>
    </row>
    <row r="381" spans="1:13">
      <c r="A381" s="15">
        <v>46235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7">
        <f>IFERROR(VLOOKUP(F381,Hoja2!$K$2:$M$1198,2,FALSE),0)</f>
        <v>25799000</v>
      </c>
      <c r="H381" s="17">
        <f>IFERROR(VLOOKUP(F381,Hoja2!$K$2:$M$1198,3,FALSE),0)</f>
        <v>15176000</v>
      </c>
      <c r="I381" s="3" t="s">
        <v>7</v>
      </c>
      <c r="J381" s="3" t="s">
        <v>217</v>
      </c>
      <c r="K381" s="3" t="s">
        <v>219</v>
      </c>
      <c r="L381" s="12">
        <v>546091</v>
      </c>
      <c r="M381" s="11">
        <v>828415</v>
      </c>
    </row>
    <row r="382" spans="1:13">
      <c r="A382" s="15">
        <v>46235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7">
        <f>IFERROR(VLOOKUP(F382,Hoja2!$K$2:$M$1198,2,FALSE),0)</f>
        <v>11001000</v>
      </c>
      <c r="H382" s="17">
        <f>IFERROR(VLOOKUP(F382,Hoja2!$K$2:$M$1198,3,FALSE),0)</f>
        <v>68077000</v>
      </c>
      <c r="I382" s="3" t="s">
        <v>7</v>
      </c>
      <c r="J382" s="3" t="s">
        <v>217</v>
      </c>
      <c r="K382" s="3" t="s">
        <v>219</v>
      </c>
      <c r="L382" s="12">
        <v>521220</v>
      </c>
      <c r="M382" s="11">
        <v>819430</v>
      </c>
    </row>
    <row r="383" spans="1:13">
      <c r="A383" s="15">
        <v>46235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7">
        <f>IFERROR(VLOOKUP(F383,Hoja2!$K$2:$M$1198,2,FALSE),0)</f>
        <v>11001000</v>
      </c>
      <c r="H383" s="17">
        <f>IFERROR(VLOOKUP(F383,Hoja2!$K$2:$M$1198,3,FALSE),0)</f>
        <v>63001000</v>
      </c>
      <c r="I383" s="3" t="s">
        <v>7</v>
      </c>
      <c r="J383" s="3" t="s">
        <v>217</v>
      </c>
      <c r="K383" s="3" t="s">
        <v>219</v>
      </c>
      <c r="L383" s="12">
        <v>806518</v>
      </c>
      <c r="M383" s="11">
        <v>1572418</v>
      </c>
    </row>
    <row r="384" spans="1:13">
      <c r="A384" s="15">
        <v>46235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7">
        <f>IFERROR(VLOOKUP(F384,Hoja2!$K$2:$M$1198,2,FALSE),0)</f>
        <v>76892000</v>
      </c>
      <c r="H384" s="17">
        <f>IFERROR(VLOOKUP(F384,Hoja2!$K$2:$M$1198,3,FALSE),0)</f>
        <v>17001000</v>
      </c>
      <c r="I384" s="3" t="s">
        <v>7</v>
      </c>
      <c r="J384" s="3" t="s">
        <v>217</v>
      </c>
      <c r="K384" s="3" t="s">
        <v>219</v>
      </c>
      <c r="L384" s="12">
        <v>747567</v>
      </c>
      <c r="M384" s="11">
        <v>1446619</v>
      </c>
    </row>
    <row r="385" spans="1:13">
      <c r="A385" s="15">
        <v>46235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7">
        <f>IFERROR(VLOOKUP(F385,Hoja2!$K$2:$M$1198,2,FALSE),0)</f>
        <v>5001000</v>
      </c>
      <c r="H385" s="17">
        <f>IFERROR(VLOOKUP(F385,Hoja2!$K$2:$M$1198,3,FALSE),0)</f>
        <v>54001000</v>
      </c>
      <c r="I385" s="3" t="s">
        <v>7</v>
      </c>
      <c r="J385" s="3" t="s">
        <v>217</v>
      </c>
      <c r="K385" s="3" t="s">
        <v>219</v>
      </c>
      <c r="L385" s="12">
        <v>547323</v>
      </c>
      <c r="M385" s="11">
        <v>2669968</v>
      </c>
    </row>
    <row r="386" spans="1:13">
      <c r="A386" s="15">
        <v>46235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7">
        <f>IFERROR(VLOOKUP(F386,Hoja2!$K$2:$M$1198,2,FALSE),0)</f>
        <v>5001000</v>
      </c>
      <c r="H386" s="17">
        <f>IFERROR(VLOOKUP(F386,Hoja2!$K$2:$M$1198,3,FALSE),0)</f>
        <v>41001000</v>
      </c>
      <c r="I386" s="3" t="s">
        <v>7</v>
      </c>
      <c r="J386" s="3" t="s">
        <v>217</v>
      </c>
      <c r="K386" s="3" t="s">
        <v>219</v>
      </c>
      <c r="L386" s="12">
        <v>616420</v>
      </c>
      <c r="M386" s="11">
        <v>2616004</v>
      </c>
    </row>
    <row r="387" spans="1:13">
      <c r="A387" s="15">
        <v>46235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7">
        <f>IFERROR(VLOOKUP(F387,Hoja2!$K$2:$M$1198,2,FALSE),0)</f>
        <v>15238000</v>
      </c>
      <c r="H387" s="17">
        <f>IFERROR(VLOOKUP(F387,Hoja2!$K$2:$M$1198,3,FALSE),0)</f>
        <v>19001000</v>
      </c>
      <c r="I387" s="3" t="s">
        <v>7</v>
      </c>
      <c r="J387" s="3" t="s">
        <v>217</v>
      </c>
      <c r="K387" s="3" t="s">
        <v>219</v>
      </c>
      <c r="L387" s="12">
        <v>592888</v>
      </c>
      <c r="M387" s="11">
        <v>3070356</v>
      </c>
    </row>
    <row r="388" spans="1:13">
      <c r="A388" s="15">
        <v>46235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7">
        <f>IFERROR(VLOOKUP(F388,Hoja2!$K$2:$M$1198,2,FALSE),0)</f>
        <v>25799000</v>
      </c>
      <c r="H388" s="17">
        <f>IFERROR(VLOOKUP(F388,Hoja2!$K$2:$M$1198,3,FALSE),0)</f>
        <v>85001000</v>
      </c>
      <c r="I388" s="3" t="s">
        <v>7</v>
      </c>
      <c r="J388" s="3" t="s">
        <v>217</v>
      </c>
      <c r="K388" s="3" t="s">
        <v>219</v>
      </c>
      <c r="L388" s="12">
        <v>546091</v>
      </c>
      <c r="M388" s="11">
        <v>1918318</v>
      </c>
    </row>
    <row r="389" spans="1:13">
      <c r="A389" s="15">
        <v>46235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7">
        <f>IFERROR(VLOOKUP(F389,Hoja2!$K$2:$M$1198,2,FALSE),0)</f>
        <v>15238000</v>
      </c>
      <c r="H389" s="17">
        <f>IFERROR(VLOOKUP(F389,Hoja2!$K$2:$M$1198,3,FALSE),0)</f>
        <v>63001000</v>
      </c>
      <c r="I389" s="3" t="s">
        <v>7</v>
      </c>
      <c r="J389" s="3" t="s">
        <v>217</v>
      </c>
      <c r="K389" s="3" t="s">
        <v>219</v>
      </c>
      <c r="L389" s="12">
        <v>756602</v>
      </c>
      <c r="M389" s="11">
        <v>2036224</v>
      </c>
    </row>
    <row r="390" spans="1:13">
      <c r="A390" s="15">
        <v>46235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7">
        <f>IFERROR(VLOOKUP(F390,Hoja2!$K$2:$M$1198,2,FALSE),0)</f>
        <v>76892000</v>
      </c>
      <c r="H390" s="17">
        <f>IFERROR(VLOOKUP(F390,Hoja2!$K$2:$M$1198,3,FALSE),0)</f>
        <v>17001000</v>
      </c>
      <c r="I390" s="3" t="s">
        <v>7</v>
      </c>
      <c r="J390" s="3" t="s">
        <v>217</v>
      </c>
      <c r="K390" s="3" t="s">
        <v>219</v>
      </c>
      <c r="L390" s="12">
        <v>702327</v>
      </c>
      <c r="M390" s="11">
        <v>1133266</v>
      </c>
    </row>
    <row r="391" spans="1:13">
      <c r="A391" s="15">
        <v>46235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7">
        <f>IFERROR(VLOOKUP(F391,Hoja2!$K$2:$M$1198,2,FALSE),0)</f>
        <v>5001000</v>
      </c>
      <c r="H391" s="17">
        <f>IFERROR(VLOOKUP(F391,Hoja2!$K$2:$M$1198,3,FALSE),0)</f>
        <v>63001000</v>
      </c>
      <c r="I391" s="3" t="s">
        <v>7</v>
      </c>
      <c r="J391" s="3" t="s">
        <v>217</v>
      </c>
      <c r="K391" s="3" t="s">
        <v>219</v>
      </c>
      <c r="L391" s="12">
        <v>806293</v>
      </c>
      <c r="M391" s="11">
        <v>1572419</v>
      </c>
    </row>
    <row r="392" spans="1:13">
      <c r="A392" s="15">
        <v>46235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7">
        <f>IFERROR(VLOOKUP(F392,Hoja2!$K$2:$M$1198,2,FALSE),0)</f>
        <v>11001000</v>
      </c>
      <c r="H392" s="17">
        <f>IFERROR(VLOOKUP(F392,Hoja2!$K$2:$M$1198,3,FALSE),0)</f>
        <v>73671000</v>
      </c>
      <c r="I392" s="3" t="s">
        <v>7</v>
      </c>
      <c r="J392" s="3" t="s">
        <v>217</v>
      </c>
      <c r="K392" s="3" t="s">
        <v>219</v>
      </c>
      <c r="L392" s="12">
        <v>1041230</v>
      </c>
      <c r="M392" s="11">
        <v>978628</v>
      </c>
    </row>
    <row r="393" spans="1:13">
      <c r="A393" s="15">
        <v>46235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7">
        <f>IFERROR(VLOOKUP(F393,Hoja2!$K$2:$M$1198,2,FALSE),0)</f>
        <v>68001000</v>
      </c>
      <c r="H393" s="17">
        <f>IFERROR(VLOOKUP(F393,Hoja2!$K$2:$M$1198,3,FALSE),0)</f>
        <v>50001000</v>
      </c>
      <c r="I393" s="3" t="s">
        <v>7</v>
      </c>
      <c r="J393" s="3" t="s">
        <v>217</v>
      </c>
      <c r="K393" s="3" t="s">
        <v>219</v>
      </c>
      <c r="L393" s="12">
        <v>546091</v>
      </c>
      <c r="M393" s="11">
        <v>2727320</v>
      </c>
    </row>
    <row r="394" spans="1:13">
      <c r="A394" s="15">
        <v>46235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7">
        <f>IFERROR(VLOOKUP(F394,Hoja2!$K$2:$M$1198,2,FALSE),0)</f>
        <v>11001000</v>
      </c>
      <c r="H394" s="17">
        <f>IFERROR(VLOOKUP(F394,Hoja2!$K$2:$M$1198,3,FALSE),0)</f>
        <v>19001000</v>
      </c>
      <c r="I394" s="3" t="s">
        <v>7</v>
      </c>
      <c r="J394" s="3" t="s">
        <v>217</v>
      </c>
      <c r="K394" s="3" t="s">
        <v>219</v>
      </c>
      <c r="L394" s="12">
        <v>617739</v>
      </c>
      <c r="M394" s="11">
        <v>2677449</v>
      </c>
    </row>
    <row r="395" spans="1:13">
      <c r="A395" s="15">
        <v>46235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7">
        <f>IFERROR(VLOOKUP(F395,Hoja2!$K$2:$M$1198,2,FALSE),0)</f>
        <v>15238000</v>
      </c>
      <c r="H395" s="17">
        <f>IFERROR(VLOOKUP(F395,Hoja2!$K$2:$M$1198,3,FALSE),0)</f>
        <v>76111000</v>
      </c>
      <c r="I395" s="3" t="s">
        <v>7</v>
      </c>
      <c r="J395" s="3" t="s">
        <v>217</v>
      </c>
      <c r="K395" s="3" t="s">
        <v>219</v>
      </c>
      <c r="L395" s="12">
        <v>669268</v>
      </c>
      <c r="M395" s="11">
        <v>2631487</v>
      </c>
    </row>
    <row r="396" spans="1:13">
      <c r="A396" s="15">
        <v>46235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7">
        <f>IFERROR(VLOOKUP(F396,Hoja2!$K$2:$M$1198,2,FALSE),0)</f>
        <v>5001000</v>
      </c>
      <c r="H396" s="17">
        <f>IFERROR(VLOOKUP(F396,Hoja2!$K$2:$M$1198,3,FALSE),0)</f>
        <v>17001000</v>
      </c>
      <c r="I396" s="3" t="s">
        <v>7</v>
      </c>
      <c r="J396" s="3" t="s">
        <v>217</v>
      </c>
      <c r="K396" s="3" t="s">
        <v>219</v>
      </c>
      <c r="L396" s="12">
        <v>802592</v>
      </c>
      <c r="M396" s="11">
        <v>1003857</v>
      </c>
    </row>
    <row r="397" spans="1:13">
      <c r="A397" s="15">
        <v>46235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7">
        <f>IFERROR(VLOOKUP(F397,Hoja2!$K$2:$M$1198,2,FALSE),0)</f>
        <v>8433000</v>
      </c>
      <c r="H397" s="17">
        <f>IFERROR(VLOOKUP(F397,Hoja2!$K$2:$M$1198,3,FALSE),0)</f>
        <v>13430000</v>
      </c>
      <c r="I397" s="3" t="s">
        <v>7</v>
      </c>
      <c r="J397" s="3" t="s">
        <v>217</v>
      </c>
      <c r="K397" s="3" t="s">
        <v>219</v>
      </c>
      <c r="L397" s="12">
        <v>694945</v>
      </c>
      <c r="M397" s="11">
        <v>1211097</v>
      </c>
    </row>
    <row r="398" spans="1:13">
      <c r="A398" s="15">
        <v>46235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7">
        <f>IFERROR(VLOOKUP(F398,Hoja2!$K$2:$M$1198,2,FALSE),0)</f>
        <v>15238000</v>
      </c>
      <c r="H398" s="17">
        <f>IFERROR(VLOOKUP(F398,Hoja2!$K$2:$M$1198,3,FALSE),0)</f>
        <v>25430000</v>
      </c>
      <c r="I398" s="3" t="s">
        <v>7</v>
      </c>
      <c r="J398" s="3" t="s">
        <v>217</v>
      </c>
      <c r="K398" s="3" t="s">
        <v>219</v>
      </c>
      <c r="L398" s="12">
        <v>493969</v>
      </c>
      <c r="M398" s="11">
        <v>1149084</v>
      </c>
    </row>
    <row r="399" spans="1:13">
      <c r="A399" s="15">
        <v>46235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7">
        <f>IFERROR(VLOOKUP(F399,Hoja2!$K$2:$M$1198,2,FALSE),0)</f>
        <v>5088000</v>
      </c>
      <c r="H399" s="17">
        <f>IFERROR(VLOOKUP(F399,Hoja2!$K$2:$M$1198,3,FALSE),0)</f>
        <v>17001000</v>
      </c>
      <c r="I399" s="3" t="s">
        <v>7</v>
      </c>
      <c r="J399" s="3" t="s">
        <v>217</v>
      </c>
      <c r="K399" s="3" t="s">
        <v>219</v>
      </c>
      <c r="L399" s="12">
        <v>806293</v>
      </c>
      <c r="M399" s="11">
        <v>1083653</v>
      </c>
    </row>
    <row r="400" spans="1:13">
      <c r="A400" s="15">
        <v>46235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7">
        <f>IFERROR(VLOOKUP(F400,Hoja2!$K$2:$M$1198,2,FALSE),0)</f>
        <v>19142000</v>
      </c>
      <c r="H400" s="17">
        <f>IFERROR(VLOOKUP(F400,Hoja2!$K$2:$M$1198,3,FALSE),0)</f>
        <v>17001000</v>
      </c>
      <c r="I400" s="3" t="s">
        <v>7</v>
      </c>
      <c r="J400" s="3" t="s">
        <v>217</v>
      </c>
      <c r="K400" s="3" t="s">
        <v>219</v>
      </c>
      <c r="L400" s="12">
        <v>702327</v>
      </c>
      <c r="M400" s="11">
        <v>1123550</v>
      </c>
    </row>
    <row r="401" spans="1:13">
      <c r="A401" s="15">
        <v>46235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7">
        <f>IFERROR(VLOOKUP(F401,Hoja2!$K$2:$M$1198,2,FALSE),0)</f>
        <v>11001000</v>
      </c>
      <c r="H401" s="17">
        <f>IFERROR(VLOOKUP(F401,Hoja2!$K$2:$M$1198,3,FALSE),0)</f>
        <v>54001000</v>
      </c>
      <c r="I401" s="3" t="s">
        <v>7</v>
      </c>
      <c r="J401" s="3" t="s">
        <v>217</v>
      </c>
      <c r="K401" s="3" t="s">
        <v>219</v>
      </c>
      <c r="L401" s="12">
        <v>547548</v>
      </c>
      <c r="M401" s="11">
        <v>2841773</v>
      </c>
    </row>
    <row r="402" spans="1:13">
      <c r="A402" s="15">
        <v>46235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7">
        <f>IFERROR(VLOOKUP(F402,Hoja2!$K$2:$M$1198,2,FALSE),0)</f>
        <v>66001000</v>
      </c>
      <c r="H402" s="17">
        <f>IFERROR(VLOOKUP(F402,Hoja2!$K$2:$M$1198,3,FALSE),0)</f>
        <v>76111000</v>
      </c>
      <c r="I402" s="3" t="s">
        <v>7</v>
      </c>
      <c r="J402" s="3" t="s">
        <v>217</v>
      </c>
      <c r="K402" s="3" t="s">
        <v>219</v>
      </c>
      <c r="L402" s="12">
        <v>794719</v>
      </c>
      <c r="M402" s="11">
        <v>878882</v>
      </c>
    </row>
    <row r="403" spans="1:13">
      <c r="A403" s="15">
        <v>46235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7">
        <f>IFERROR(VLOOKUP(F403,Hoja2!$K$2:$M$1198,2,FALSE),0)</f>
        <v>11001000</v>
      </c>
      <c r="H403" s="17">
        <f>IFERROR(VLOOKUP(F403,Hoja2!$K$2:$M$1198,3,FALSE),0)</f>
        <v>5001000</v>
      </c>
      <c r="I403" s="3" t="s">
        <v>7</v>
      </c>
      <c r="J403" s="3" t="s">
        <v>217</v>
      </c>
      <c r="K403" s="3" t="s">
        <v>219</v>
      </c>
      <c r="L403" s="12">
        <v>643329</v>
      </c>
      <c r="M403" s="11">
        <v>3001689</v>
      </c>
    </row>
    <row r="404" spans="1:13">
      <c r="A404" s="15">
        <v>46235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7">
        <f>IFERROR(VLOOKUP(F404,Hoja2!$K$2:$M$1198,2,FALSE),0)</f>
        <v>19142000</v>
      </c>
      <c r="H404" s="17">
        <f>IFERROR(VLOOKUP(F404,Hoja2!$K$2:$M$1198,3,FALSE),0)</f>
        <v>23001000</v>
      </c>
      <c r="I404" s="3" t="s">
        <v>7</v>
      </c>
      <c r="J404" s="3" t="s">
        <v>217</v>
      </c>
      <c r="K404" s="3" t="s">
        <v>219</v>
      </c>
      <c r="L404" s="12">
        <v>781711</v>
      </c>
      <c r="M404" s="11">
        <v>3058966</v>
      </c>
    </row>
    <row r="405" spans="1:13">
      <c r="A405" s="15">
        <v>46235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7">
        <f>IFERROR(VLOOKUP(F405,Hoja2!$K$2:$M$1198,2,FALSE),0)</f>
        <v>19142000</v>
      </c>
      <c r="H405" s="17">
        <f>IFERROR(VLOOKUP(F405,Hoja2!$K$2:$M$1198,3,FALSE),0)</f>
        <v>76001000</v>
      </c>
      <c r="I405" s="3" t="s">
        <v>7</v>
      </c>
      <c r="J405" s="3" t="s">
        <v>217</v>
      </c>
      <c r="K405" s="3" t="s">
        <v>219</v>
      </c>
      <c r="L405" s="12">
        <v>495637</v>
      </c>
      <c r="M405" s="11">
        <v>885767</v>
      </c>
    </row>
    <row r="406" spans="1:13">
      <c r="A406" s="15">
        <v>46235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7">
        <f>IFERROR(VLOOKUP(F406,Hoja2!$K$2:$M$1198,2,FALSE),0)</f>
        <v>11001000</v>
      </c>
      <c r="H406" s="17">
        <f>IFERROR(VLOOKUP(F406,Hoja2!$K$2:$M$1198,3,FALSE),0)</f>
        <v>76109000</v>
      </c>
      <c r="I406" s="3" t="s">
        <v>7</v>
      </c>
      <c r="J406" s="3" t="s">
        <v>217</v>
      </c>
      <c r="K406" s="3" t="s">
        <v>219</v>
      </c>
      <c r="L406" s="12">
        <v>847241</v>
      </c>
      <c r="M406" s="11">
        <v>2507885</v>
      </c>
    </row>
    <row r="407" spans="1:13">
      <c r="A407" s="15">
        <v>46235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7">
        <f>IFERROR(VLOOKUP(F407,Hoja2!$K$2:$M$1198,2,FALSE),0)</f>
        <v>11001000</v>
      </c>
      <c r="H407" s="17">
        <f>IFERROR(VLOOKUP(F407,Hoja2!$K$2:$M$1198,3,FALSE),0)</f>
        <v>41298000</v>
      </c>
      <c r="I407" s="3" t="s">
        <v>7</v>
      </c>
      <c r="J407" s="3" t="s">
        <v>217</v>
      </c>
      <c r="K407" s="3" t="s">
        <v>219</v>
      </c>
      <c r="L407" s="12">
        <v>1068620</v>
      </c>
      <c r="M407" s="11">
        <v>1929282</v>
      </c>
    </row>
    <row r="408" spans="1:13">
      <c r="A408" s="15">
        <v>46235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7">
        <f>IFERROR(VLOOKUP(F408,Hoja2!$K$2:$M$1198,2,FALSE),0)</f>
        <v>11001000</v>
      </c>
      <c r="H408" s="17">
        <f>IFERROR(VLOOKUP(F408,Hoja2!$K$2:$M$1198,3,FALSE),0)</f>
        <v>44430000</v>
      </c>
      <c r="I408" s="3" t="s">
        <v>7</v>
      </c>
      <c r="J408" s="3" t="s">
        <v>217</v>
      </c>
      <c r="K408" s="3" t="s">
        <v>219</v>
      </c>
      <c r="L408" s="12">
        <v>710088</v>
      </c>
      <c r="M408" s="11">
        <v>4445069</v>
      </c>
    </row>
    <row r="409" spans="1:13">
      <c r="A409" s="15">
        <v>46235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7">
        <f>IFERROR(VLOOKUP(F409,Hoja2!$K$2:$M$1198,2,FALSE),0)</f>
        <v>11001000</v>
      </c>
      <c r="H409" s="17">
        <f>IFERROR(VLOOKUP(F409,Hoja2!$K$2:$M$1198,3,FALSE),0)</f>
        <v>68001000</v>
      </c>
      <c r="I409" s="3" t="s">
        <v>7</v>
      </c>
      <c r="J409" s="3" t="s">
        <v>217</v>
      </c>
      <c r="K409" s="3" t="s">
        <v>219</v>
      </c>
      <c r="L409" s="12">
        <v>958063</v>
      </c>
      <c r="M409" s="11">
        <v>1563531</v>
      </c>
    </row>
    <row r="410" spans="1:13">
      <c r="A410" s="15">
        <v>46235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7">
        <f>IFERROR(VLOOKUP(F410,Hoja2!$K$2:$M$1198,2,FALSE),0)</f>
        <v>8433000</v>
      </c>
      <c r="H410" s="17">
        <f>IFERROR(VLOOKUP(F410,Hoja2!$K$2:$M$1198,3,FALSE),0)</f>
        <v>11001000</v>
      </c>
      <c r="I410" s="3" t="s">
        <v>7</v>
      </c>
      <c r="J410" s="3" t="s">
        <v>217</v>
      </c>
      <c r="K410" s="3" t="s">
        <v>219</v>
      </c>
      <c r="L410" s="12">
        <v>1040850</v>
      </c>
      <c r="M410" s="11">
        <v>4311831</v>
      </c>
    </row>
    <row r="411" spans="1:13">
      <c r="A411" s="15">
        <v>46235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7">
        <f>IFERROR(VLOOKUP(F411,Hoja2!$K$2:$M$1198,2,FALSE),0)</f>
        <v>8433000</v>
      </c>
      <c r="H411" s="17">
        <f>IFERROR(VLOOKUP(F411,Hoja2!$K$2:$M$1198,3,FALSE),0)</f>
        <v>73001000</v>
      </c>
      <c r="I411" s="3" t="s">
        <v>7</v>
      </c>
      <c r="J411" s="3" t="s">
        <v>217</v>
      </c>
      <c r="K411" s="3" t="s">
        <v>219</v>
      </c>
      <c r="L411" s="12">
        <v>520030</v>
      </c>
      <c r="M411" s="11">
        <v>4402678</v>
      </c>
    </row>
    <row r="412" spans="1:13">
      <c r="A412" s="15">
        <v>46235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7">
        <f>IFERROR(VLOOKUP(F412,Hoja2!$K$2:$M$1198,2,FALSE),0)</f>
        <v>20001000</v>
      </c>
      <c r="H412" s="17">
        <f>IFERROR(VLOOKUP(F412,Hoja2!$K$2:$M$1198,3,FALSE),0)</f>
        <v>8433000</v>
      </c>
      <c r="I412" s="3" t="s">
        <v>7</v>
      </c>
      <c r="J412" s="3" t="s">
        <v>217</v>
      </c>
      <c r="K412" s="3" t="s">
        <v>219</v>
      </c>
      <c r="L412" s="12">
        <v>546876</v>
      </c>
      <c r="M412" s="11">
        <v>1686453</v>
      </c>
    </row>
    <row r="413" spans="1:13">
      <c r="A413" s="15">
        <v>46235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7">
        <f>IFERROR(VLOOKUP(F413,Hoja2!$K$2:$M$1198,2,FALSE),0)</f>
        <v>25799000</v>
      </c>
      <c r="H413" s="17">
        <f>IFERROR(VLOOKUP(F413,Hoja2!$K$2:$M$1198,3,FALSE),0)</f>
        <v>11001000</v>
      </c>
      <c r="I413" s="3" t="s">
        <v>7</v>
      </c>
      <c r="J413" s="3" t="s">
        <v>217</v>
      </c>
      <c r="K413" s="3" t="s">
        <v>219</v>
      </c>
      <c r="L413" s="12">
        <v>1041250</v>
      </c>
      <c r="M413" s="11">
        <v>1036968</v>
      </c>
    </row>
    <row r="414" spans="1:13">
      <c r="A414" s="15">
        <v>46235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7">
        <f>IFERROR(VLOOKUP(F414,Hoja2!$K$2:$M$1198,2,FALSE),0)</f>
        <v>19142000</v>
      </c>
      <c r="H414" s="17">
        <f>IFERROR(VLOOKUP(F414,Hoja2!$K$2:$M$1198,3,FALSE),0)</f>
        <v>76109000</v>
      </c>
      <c r="I414" s="3" t="s">
        <v>7</v>
      </c>
      <c r="J414" s="3" t="s">
        <v>217</v>
      </c>
      <c r="K414" s="3" t="s">
        <v>219</v>
      </c>
      <c r="L414" s="12">
        <v>788290</v>
      </c>
      <c r="M414" s="11">
        <v>1016326</v>
      </c>
    </row>
    <row r="415" spans="1:13">
      <c r="A415" s="15">
        <v>46235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7">
        <f>IFERROR(VLOOKUP(F415,Hoja2!$K$2:$M$1198,2,FALSE),0)</f>
        <v>19142000</v>
      </c>
      <c r="H415" s="17">
        <f>IFERROR(VLOOKUP(F415,Hoja2!$K$2:$M$1198,3,FALSE),0)</f>
        <v>68001000</v>
      </c>
      <c r="I415" s="3" t="s">
        <v>7</v>
      </c>
      <c r="J415" s="3" t="s">
        <v>217</v>
      </c>
      <c r="K415" s="3" t="s">
        <v>219</v>
      </c>
      <c r="L415" s="12">
        <v>981863</v>
      </c>
      <c r="M415" s="11">
        <v>3171177</v>
      </c>
    </row>
    <row r="416" spans="1:13">
      <c r="A416" s="15">
        <v>46235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7">
        <f>IFERROR(VLOOKUP(F416,Hoja2!$K$2:$M$1198,2,FALSE),0)</f>
        <v>76001000</v>
      </c>
      <c r="H416" s="17">
        <f>IFERROR(VLOOKUP(F416,Hoja2!$K$2:$M$1198,3,FALSE),0)</f>
        <v>15238000</v>
      </c>
      <c r="I416" s="3" t="s">
        <v>7</v>
      </c>
      <c r="J416" s="3" t="s">
        <v>217</v>
      </c>
      <c r="K416" s="3" t="s">
        <v>219</v>
      </c>
      <c r="L416" s="12">
        <v>517650</v>
      </c>
      <c r="M416" s="11">
        <v>2788070</v>
      </c>
    </row>
    <row r="417" spans="1:13">
      <c r="A417" s="15">
        <v>46235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7">
        <f>IFERROR(VLOOKUP(F417,Hoja2!$K$2:$M$1198,2,FALSE),0)</f>
        <v>76109000</v>
      </c>
      <c r="H417" s="17">
        <f>IFERROR(VLOOKUP(F417,Hoja2!$K$2:$M$1198,3,FALSE),0)</f>
        <v>76892000</v>
      </c>
      <c r="I417" s="3" t="s">
        <v>7</v>
      </c>
      <c r="J417" s="3" t="s">
        <v>217</v>
      </c>
      <c r="K417" s="3" t="s">
        <v>219</v>
      </c>
      <c r="L417" s="12">
        <v>788290</v>
      </c>
      <c r="M417" s="11">
        <v>887186</v>
      </c>
    </row>
    <row r="418" spans="1:13">
      <c r="A418" s="15">
        <v>46235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7">
        <f>IFERROR(VLOOKUP(F418,Hoja2!$K$2:$M$1198,2,FALSE),0)</f>
        <v>25799000</v>
      </c>
      <c r="H418" s="17">
        <f>IFERROR(VLOOKUP(F418,Hoja2!$K$2:$M$1198,3,FALSE),0)</f>
        <v>11001000</v>
      </c>
      <c r="I418" s="3" t="s">
        <v>7</v>
      </c>
      <c r="J418" s="3" t="s">
        <v>217</v>
      </c>
      <c r="K418" s="3" t="s">
        <v>219</v>
      </c>
      <c r="L418" s="12">
        <v>518820</v>
      </c>
      <c r="M418" s="11">
        <v>403890</v>
      </c>
    </row>
    <row r="419" spans="1:13">
      <c r="A419" s="15">
        <v>46235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7">
        <f>IFERROR(VLOOKUP(F419,Hoja2!$K$2:$M$1198,2,FALSE),0)</f>
        <v>25430000</v>
      </c>
      <c r="H419" s="17">
        <f>IFERROR(VLOOKUP(F419,Hoja2!$K$2:$M$1198,3,FALSE),0)</f>
        <v>11001000</v>
      </c>
      <c r="I419" s="3" t="s">
        <v>7</v>
      </c>
      <c r="J419" s="3" t="s">
        <v>217</v>
      </c>
      <c r="K419" s="3" t="s">
        <v>219</v>
      </c>
      <c r="L419" s="12">
        <v>1041250</v>
      </c>
      <c r="M419" s="11">
        <v>646882</v>
      </c>
    </row>
    <row r="420" spans="1:13">
      <c r="A420" s="15">
        <v>46235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7">
        <f>IFERROR(VLOOKUP(F420,Hoja2!$K$2:$M$1198,2,FALSE),0)</f>
        <v>15001000</v>
      </c>
      <c r="H420" s="17">
        <f>IFERROR(VLOOKUP(F420,Hoja2!$K$2:$M$1198,3,FALSE),0)</f>
        <v>68001000</v>
      </c>
      <c r="I420" s="3" t="s">
        <v>7</v>
      </c>
      <c r="J420" s="3" t="s">
        <v>217</v>
      </c>
      <c r="K420" s="3" t="s">
        <v>219</v>
      </c>
      <c r="L420" s="12">
        <v>517650</v>
      </c>
      <c r="M420" s="11">
        <v>1559604</v>
      </c>
    </row>
    <row r="421" spans="1:13">
      <c r="A421" s="15">
        <v>46235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7">
        <f>IFERROR(VLOOKUP(F421,Hoja2!$K$2:$M$1198,2,FALSE),0)</f>
        <v>11001000</v>
      </c>
      <c r="H421" s="17">
        <f>IFERROR(VLOOKUP(F421,Hoja2!$K$2:$M$1198,3,FALSE),0)</f>
        <v>20011000</v>
      </c>
      <c r="I421" s="3" t="s">
        <v>7</v>
      </c>
      <c r="J421" s="3" t="s">
        <v>217</v>
      </c>
      <c r="K421" s="3" t="s">
        <v>219</v>
      </c>
      <c r="L421" s="12">
        <v>1153521</v>
      </c>
      <c r="M421" s="11">
        <v>2567788</v>
      </c>
    </row>
    <row r="422" spans="1:13">
      <c r="A422" s="15">
        <v>46235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7">
        <f>IFERROR(VLOOKUP(F422,Hoja2!$K$2:$M$1198,2,FALSE),0)</f>
        <v>11001000</v>
      </c>
      <c r="H422" s="17">
        <f>IFERROR(VLOOKUP(F422,Hoja2!$K$2:$M$1198,3,FALSE),0)</f>
        <v>15176000</v>
      </c>
      <c r="I422" s="3" t="s">
        <v>7</v>
      </c>
      <c r="J422" s="3" t="s">
        <v>217</v>
      </c>
      <c r="K422" s="3" t="s">
        <v>219</v>
      </c>
      <c r="L422" s="12">
        <v>522291</v>
      </c>
      <c r="M422" s="11">
        <v>964146</v>
      </c>
    </row>
    <row r="423" spans="1:13">
      <c r="A423" s="15">
        <v>46235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7">
        <f>IFERROR(VLOOKUP(F423,Hoja2!$K$2:$M$1198,2,FALSE),0)</f>
        <v>11001000</v>
      </c>
      <c r="H423" s="17">
        <f>IFERROR(VLOOKUP(F423,Hoja2!$K$2:$M$1198,3,FALSE),0)</f>
        <v>54001000</v>
      </c>
      <c r="I423" s="3" t="s">
        <v>7</v>
      </c>
      <c r="J423" s="3" t="s">
        <v>217</v>
      </c>
      <c r="K423" s="3" t="s">
        <v>219</v>
      </c>
      <c r="L423" s="12">
        <v>547548</v>
      </c>
      <c r="M423" s="11">
        <v>2814595</v>
      </c>
    </row>
    <row r="424" spans="1:13">
      <c r="A424" s="15">
        <v>46235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7">
        <f>IFERROR(VLOOKUP(F424,Hoja2!$K$2:$M$1198,2,FALSE),0)</f>
        <v>11001000</v>
      </c>
      <c r="H424" s="17">
        <f>IFERROR(VLOOKUP(F424,Hoja2!$K$2:$M$1198,3,FALSE),0)</f>
        <v>63001000</v>
      </c>
      <c r="I424" s="3" t="s">
        <v>7</v>
      </c>
      <c r="J424" s="3" t="s">
        <v>217</v>
      </c>
      <c r="K424" s="3" t="s">
        <v>219</v>
      </c>
      <c r="L424" s="12">
        <v>806518</v>
      </c>
      <c r="M424" s="11">
        <v>1570904</v>
      </c>
    </row>
    <row r="425" spans="1:13">
      <c r="A425" s="15">
        <v>46235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7">
        <f>IFERROR(VLOOKUP(F425,Hoja2!$K$2:$M$1198,2,FALSE),0)</f>
        <v>11001000</v>
      </c>
      <c r="H425" s="17">
        <f>IFERROR(VLOOKUP(F425,Hoja2!$K$2:$M$1198,3,FALSE),0)</f>
        <v>17001000</v>
      </c>
      <c r="I425" s="3" t="s">
        <v>7</v>
      </c>
      <c r="J425" s="3" t="s">
        <v>217</v>
      </c>
      <c r="K425" s="3" t="s">
        <v>219</v>
      </c>
      <c r="L425" s="12">
        <v>806518</v>
      </c>
      <c r="M425" s="11">
        <v>1583915</v>
      </c>
    </row>
    <row r="426" spans="1:13">
      <c r="A426" s="15">
        <v>46235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7">
        <f>IFERROR(VLOOKUP(F426,Hoja2!$K$2:$M$1198,2,FALSE),0)</f>
        <v>11001000</v>
      </c>
      <c r="H426" s="17">
        <f>IFERROR(VLOOKUP(F426,Hoja2!$K$2:$M$1198,3,FALSE),0)</f>
        <v>68001000</v>
      </c>
      <c r="I426" s="3" t="s">
        <v>7</v>
      </c>
      <c r="J426" s="3" t="s">
        <v>217</v>
      </c>
      <c r="K426" s="3" t="s">
        <v>219</v>
      </c>
      <c r="L426" s="12">
        <v>981843</v>
      </c>
      <c r="M426" s="11">
        <v>1577530</v>
      </c>
    </row>
    <row r="427" spans="1:13">
      <c r="A427" s="15">
        <v>46235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7">
        <f>IFERROR(VLOOKUP(F427,Hoja2!$K$2:$M$1198,2,FALSE),0)</f>
        <v>11001000</v>
      </c>
      <c r="H427" s="17">
        <f>IFERROR(VLOOKUP(F427,Hoja2!$K$2:$M$1198,3,FALSE),0)</f>
        <v>19001000</v>
      </c>
      <c r="I427" s="3" t="s">
        <v>7</v>
      </c>
      <c r="J427" s="3" t="s">
        <v>217</v>
      </c>
      <c r="K427" s="3" t="s">
        <v>219</v>
      </c>
      <c r="L427" s="12">
        <v>617739</v>
      </c>
      <c r="M427" s="11">
        <v>2706332</v>
      </c>
    </row>
    <row r="428" spans="1:13">
      <c r="A428" s="15">
        <v>46235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7">
        <f>IFERROR(VLOOKUP(F428,Hoja2!$K$2:$M$1198,2,FALSE),0)</f>
        <v>11001000</v>
      </c>
      <c r="H428" s="17">
        <f>IFERROR(VLOOKUP(F428,Hoja2!$K$2:$M$1198,3,FALSE),0)</f>
        <v>15001000</v>
      </c>
      <c r="I428" s="3" t="s">
        <v>7</v>
      </c>
      <c r="J428" s="3" t="s">
        <v>217</v>
      </c>
      <c r="K428" s="3" t="s">
        <v>219</v>
      </c>
      <c r="L428" s="12">
        <v>517630</v>
      </c>
      <c r="M428" s="11">
        <v>916652</v>
      </c>
    </row>
    <row r="429" spans="1:13">
      <c r="A429" s="15">
        <v>46235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7">
        <f>IFERROR(VLOOKUP(F429,Hoja2!$K$2:$M$1198,2,FALSE),0)</f>
        <v>11001000</v>
      </c>
      <c r="H429" s="17">
        <f>IFERROR(VLOOKUP(F429,Hoja2!$K$2:$M$1198,3,FALSE),0)</f>
        <v>52001000</v>
      </c>
      <c r="I429" s="3" t="s">
        <v>7</v>
      </c>
      <c r="J429" s="3" t="s">
        <v>217</v>
      </c>
      <c r="K429" s="3" t="s">
        <v>219</v>
      </c>
      <c r="L429" s="12">
        <v>632072</v>
      </c>
      <c r="M429" s="11">
        <v>3815447</v>
      </c>
    </row>
    <row r="430" spans="1:13">
      <c r="A430" s="15">
        <v>46235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7">
        <f>IFERROR(VLOOKUP(F430,Hoja2!$K$2:$M$1198,2,FALSE),0)</f>
        <v>68081000</v>
      </c>
      <c r="H430" s="17">
        <f>IFERROR(VLOOKUP(F430,Hoja2!$K$2:$M$1198,3,FALSE),0)</f>
        <v>68547000</v>
      </c>
      <c r="I430" s="3" t="s">
        <v>7</v>
      </c>
      <c r="J430" s="3" t="s">
        <v>217</v>
      </c>
      <c r="K430" s="3" t="s">
        <v>219</v>
      </c>
      <c r="L430" s="12">
        <v>656101</v>
      </c>
      <c r="M430" s="11">
        <v>864691</v>
      </c>
    </row>
    <row r="431" spans="1:13">
      <c r="A431" s="15">
        <v>46235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7">
        <f>IFERROR(VLOOKUP(F431,Hoja2!$K$2:$M$1198,2,FALSE),0)</f>
        <v>15238000</v>
      </c>
      <c r="H431" s="17">
        <f>IFERROR(VLOOKUP(F431,Hoja2!$K$2:$M$1198,3,FALSE),0)</f>
        <v>73001000</v>
      </c>
      <c r="I431" s="3" t="s">
        <v>7</v>
      </c>
      <c r="J431" s="3" t="s">
        <v>217</v>
      </c>
      <c r="K431" s="3" t="s">
        <v>219</v>
      </c>
      <c r="L431" s="12">
        <v>495159</v>
      </c>
      <c r="M431" s="11">
        <v>1707152</v>
      </c>
    </row>
    <row r="432" spans="1:13">
      <c r="A432" s="15">
        <v>46235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7">
        <f>IFERROR(VLOOKUP(F432,Hoja2!$K$2:$M$1198,2,FALSE),0)</f>
        <v>68001000</v>
      </c>
      <c r="H432" s="17">
        <f>IFERROR(VLOOKUP(F432,Hoja2!$K$2:$M$1198,3,FALSE),0)</f>
        <v>18001000</v>
      </c>
      <c r="I432" s="3" t="s">
        <v>7</v>
      </c>
      <c r="J432" s="3" t="s">
        <v>217</v>
      </c>
      <c r="K432" s="3" t="s">
        <v>219</v>
      </c>
      <c r="L432" s="12">
        <v>651113</v>
      </c>
      <c r="M432" s="11">
        <v>4178255</v>
      </c>
    </row>
    <row r="433" spans="1:13">
      <c r="A433" s="15">
        <v>46235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7">
        <f>IFERROR(VLOOKUP(F433,Hoja2!$K$2:$M$1198,2,FALSE),0)</f>
        <v>68547000</v>
      </c>
      <c r="H433" s="17">
        <f>IFERROR(VLOOKUP(F433,Hoja2!$K$2:$M$1198,3,FALSE),0)</f>
        <v>11001000</v>
      </c>
      <c r="I433" s="3" t="s">
        <v>7</v>
      </c>
      <c r="J433" s="3" t="s">
        <v>217</v>
      </c>
      <c r="K433" s="3" t="s">
        <v>219</v>
      </c>
      <c r="L433" s="12">
        <v>493969</v>
      </c>
      <c r="M433" s="11">
        <v>1731008</v>
      </c>
    </row>
    <row r="434" spans="1:13">
      <c r="A434" s="15">
        <v>46235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7">
        <f>IFERROR(VLOOKUP(F434,Hoja2!$K$2:$M$1198,2,FALSE),0)</f>
        <v>11001000</v>
      </c>
      <c r="H434" s="17">
        <f>IFERROR(VLOOKUP(F434,Hoja2!$K$2:$M$1198,3,FALSE),0)</f>
        <v>20011000</v>
      </c>
      <c r="I434" s="3" t="s">
        <v>7</v>
      </c>
      <c r="J434" s="3" t="s">
        <v>217</v>
      </c>
      <c r="K434" s="3" t="s">
        <v>219</v>
      </c>
      <c r="L434" s="12">
        <v>1177301</v>
      </c>
      <c r="M434" s="11">
        <v>2595669</v>
      </c>
    </row>
    <row r="435" spans="1:13">
      <c r="A435" s="15">
        <v>46235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7">
        <f>IFERROR(VLOOKUP(F435,Hoja2!$K$2:$M$1198,2,FALSE),0)</f>
        <v>11001000</v>
      </c>
      <c r="H435" s="17">
        <f>IFERROR(VLOOKUP(F435,Hoja2!$K$2:$M$1198,3,FALSE),0)</f>
        <v>20060000</v>
      </c>
      <c r="I435" s="3" t="s">
        <v>7</v>
      </c>
      <c r="J435" s="3" t="s">
        <v>217</v>
      </c>
      <c r="K435" s="3" t="s">
        <v>219</v>
      </c>
      <c r="L435" s="12">
        <v>763627</v>
      </c>
      <c r="M435" s="11">
        <v>3771343</v>
      </c>
    </row>
    <row r="436" spans="1:13">
      <c r="A436" s="15">
        <v>46235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7">
        <f>IFERROR(VLOOKUP(F436,Hoja2!$K$2:$M$1198,2,FALSE),0)</f>
        <v>8433000</v>
      </c>
      <c r="H436" s="17">
        <f>IFERROR(VLOOKUP(F436,Hoja2!$K$2:$M$1198,3,FALSE),0)</f>
        <v>47053000</v>
      </c>
      <c r="I436" s="3" t="s">
        <v>7</v>
      </c>
      <c r="J436" s="3" t="s">
        <v>217</v>
      </c>
      <c r="K436" s="3" t="s">
        <v>219</v>
      </c>
      <c r="L436" s="12">
        <v>694945</v>
      </c>
      <c r="M436" s="11">
        <v>863567</v>
      </c>
    </row>
    <row r="437" spans="1:13">
      <c r="A437" s="15">
        <v>46235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7">
        <f>IFERROR(VLOOKUP(F437,Hoja2!$K$2:$M$1198,2,FALSE),0)</f>
        <v>8433000</v>
      </c>
      <c r="H437" s="17">
        <f>IFERROR(VLOOKUP(F437,Hoja2!$K$2:$M$1198,3,FALSE),0)</f>
        <v>25430000</v>
      </c>
      <c r="I437" s="3" t="s">
        <v>7</v>
      </c>
      <c r="J437" s="3" t="s">
        <v>217</v>
      </c>
      <c r="K437" s="3" t="s">
        <v>219</v>
      </c>
      <c r="L437" s="12">
        <v>518840</v>
      </c>
      <c r="M437" s="11">
        <v>4208789</v>
      </c>
    </row>
    <row r="438" spans="1:13">
      <c r="A438" s="15">
        <v>46235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7">
        <f>IFERROR(VLOOKUP(F438,Hoja2!$K$2:$M$1198,2,FALSE),0)</f>
        <v>8433000</v>
      </c>
      <c r="H438" s="17">
        <f>IFERROR(VLOOKUP(F438,Hoja2!$K$2:$M$1198,3,FALSE),0)</f>
        <v>19001000</v>
      </c>
      <c r="I438" s="3" t="s">
        <v>7</v>
      </c>
      <c r="J438" s="3" t="s">
        <v>217</v>
      </c>
      <c r="K438" s="3" t="s">
        <v>219</v>
      </c>
      <c r="L438" s="12">
        <v>617759</v>
      </c>
      <c r="M438" s="11">
        <v>5426134</v>
      </c>
    </row>
    <row r="439" spans="1:13">
      <c r="A439" s="15">
        <v>46235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7">
        <f>IFERROR(VLOOKUP(F439,Hoja2!$K$2:$M$1198,2,FALSE),0)</f>
        <v>8433000</v>
      </c>
      <c r="H439" s="17">
        <f>IFERROR(VLOOKUP(F439,Hoja2!$K$2:$M$1198,3,FALSE),0)</f>
        <v>52835000</v>
      </c>
      <c r="I439" s="3" t="s">
        <v>7</v>
      </c>
      <c r="J439" s="3" t="s">
        <v>217</v>
      </c>
      <c r="K439" s="3" t="s">
        <v>219</v>
      </c>
      <c r="L439" s="12">
        <v>632092</v>
      </c>
      <c r="M439" s="11">
        <v>7234849</v>
      </c>
    </row>
    <row r="440" spans="1:13">
      <c r="A440" s="15">
        <v>46235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7">
        <f>IFERROR(VLOOKUP(F440,Hoja2!$K$2:$M$1198,2,FALSE),0)</f>
        <v>0</v>
      </c>
      <c r="H440" s="17">
        <f>IFERROR(VLOOKUP(F440,Hoja2!$K$2:$M$1198,3,FALSE),0)</f>
        <v>0</v>
      </c>
      <c r="I440" s="3" t="s">
        <v>7</v>
      </c>
      <c r="J440" s="3" t="s">
        <v>217</v>
      </c>
      <c r="K440" s="3" t="s">
        <v>219</v>
      </c>
      <c r="L440" s="12">
        <v>469515</v>
      </c>
      <c r="M440" s="11">
        <v>297670</v>
      </c>
    </row>
    <row r="441" spans="1:13">
      <c r="A441" s="15">
        <v>46235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7">
        <f>IFERROR(VLOOKUP(F441,Hoja2!$K$2:$M$1198,2,FALSE),0)</f>
        <v>66001000</v>
      </c>
      <c r="H441" s="17">
        <f>IFERROR(VLOOKUP(F441,Hoja2!$K$2:$M$1198,3,FALSE),0)</f>
        <v>25799000</v>
      </c>
      <c r="I441" s="3" t="s">
        <v>7</v>
      </c>
      <c r="J441" s="3" t="s">
        <v>217</v>
      </c>
      <c r="K441" s="3" t="s">
        <v>219</v>
      </c>
      <c r="L441" s="12">
        <v>619420</v>
      </c>
      <c r="M441" s="11">
        <v>1682054</v>
      </c>
    </row>
    <row r="442" spans="1:13">
      <c r="A442" s="15">
        <v>46235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7">
        <f>IFERROR(VLOOKUP(F442,Hoja2!$K$2:$M$1198,2,FALSE),0)</f>
        <v>66001000</v>
      </c>
      <c r="H442" s="17">
        <f>IFERROR(VLOOKUP(F442,Hoja2!$K$2:$M$1198,3,FALSE),0)</f>
        <v>20001000</v>
      </c>
      <c r="I442" s="3" t="s">
        <v>7</v>
      </c>
      <c r="J442" s="3" t="s">
        <v>217</v>
      </c>
      <c r="K442" s="3" t="s">
        <v>219</v>
      </c>
      <c r="L442" s="12">
        <v>647456</v>
      </c>
      <c r="M442" s="11">
        <v>4327870</v>
      </c>
    </row>
    <row r="443" spans="1:13">
      <c r="A443" s="15">
        <v>46235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7">
        <f>IFERROR(VLOOKUP(F443,Hoja2!$K$2:$M$1198,2,FALSE),0)</f>
        <v>76892000</v>
      </c>
      <c r="H443" s="17">
        <f>IFERROR(VLOOKUP(F443,Hoja2!$K$2:$M$1198,3,FALSE),0)</f>
        <v>11001000</v>
      </c>
      <c r="I443" s="3" t="s">
        <v>7</v>
      </c>
      <c r="J443" s="3" t="s">
        <v>217</v>
      </c>
      <c r="K443" s="3" t="s">
        <v>219</v>
      </c>
      <c r="L443" s="12">
        <v>1040850</v>
      </c>
      <c r="M443" s="11">
        <v>2055175</v>
      </c>
    </row>
    <row r="444" spans="1:13">
      <c r="A444" s="15">
        <v>46235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7">
        <f>IFERROR(VLOOKUP(F444,Hoja2!$K$2:$M$1198,2,FALSE),0)</f>
        <v>76892000</v>
      </c>
      <c r="H444" s="17">
        <f>IFERROR(VLOOKUP(F444,Hoja2!$K$2:$M$1198,3,FALSE),0)</f>
        <v>11001000</v>
      </c>
      <c r="I444" s="3" t="s">
        <v>7</v>
      </c>
      <c r="J444" s="3" t="s">
        <v>217</v>
      </c>
      <c r="K444" s="3" t="s">
        <v>219</v>
      </c>
      <c r="L444" s="12">
        <v>1040850</v>
      </c>
      <c r="M444" s="11">
        <v>1811802</v>
      </c>
    </row>
    <row r="445" spans="1:13">
      <c r="A445" s="15">
        <v>46235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7">
        <f>IFERROR(VLOOKUP(F445,Hoja2!$K$2:$M$1198,2,FALSE),0)</f>
        <v>76892000</v>
      </c>
      <c r="H445" s="17">
        <f>IFERROR(VLOOKUP(F445,Hoja2!$K$2:$M$1198,3,FALSE),0)</f>
        <v>68001000</v>
      </c>
      <c r="I445" s="3" t="s">
        <v>7</v>
      </c>
      <c r="J445" s="3" t="s">
        <v>217</v>
      </c>
      <c r="K445" s="3" t="s">
        <v>219</v>
      </c>
      <c r="L445" s="12">
        <v>981863</v>
      </c>
      <c r="M445" s="11">
        <v>3088889</v>
      </c>
    </row>
    <row r="446" spans="1:13">
      <c r="A446" s="15">
        <v>46235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7">
        <f>IFERROR(VLOOKUP(F446,Hoja2!$K$2:$M$1198,2,FALSE),0)</f>
        <v>76892000</v>
      </c>
      <c r="H446" s="17">
        <f>IFERROR(VLOOKUP(F446,Hoja2!$K$2:$M$1198,3,FALSE),0)</f>
        <v>73001000</v>
      </c>
      <c r="I446" s="3" t="s">
        <v>7</v>
      </c>
      <c r="J446" s="3" t="s">
        <v>217</v>
      </c>
      <c r="K446" s="3" t="s">
        <v>219</v>
      </c>
      <c r="L446" s="12">
        <v>1041250</v>
      </c>
      <c r="M446" s="11">
        <v>1713465</v>
      </c>
    </row>
    <row r="447" spans="1:13">
      <c r="A447" s="15">
        <v>46235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7">
        <f>IFERROR(VLOOKUP(F447,Hoja2!$K$2:$M$1198,2,FALSE),0)</f>
        <v>76892000</v>
      </c>
      <c r="H447" s="17">
        <f>IFERROR(VLOOKUP(F447,Hoja2!$K$2:$M$1198,3,FALSE),0)</f>
        <v>5001000</v>
      </c>
      <c r="I447" s="3" t="s">
        <v>7</v>
      </c>
      <c r="J447" s="3" t="s">
        <v>217</v>
      </c>
      <c r="K447" s="3" t="s">
        <v>219</v>
      </c>
      <c r="L447" s="12">
        <v>518840</v>
      </c>
      <c r="M447" s="11">
        <v>1899077</v>
      </c>
    </row>
    <row r="448" spans="1:13">
      <c r="A448" s="15">
        <v>46235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7">
        <f>IFERROR(VLOOKUP(F448,Hoja2!$K$2:$M$1198,2,FALSE),0)</f>
        <v>23001000</v>
      </c>
      <c r="H448" s="17">
        <f>IFERROR(VLOOKUP(F448,Hoja2!$K$2:$M$1198,3,FALSE),0)</f>
        <v>66001000</v>
      </c>
      <c r="I448" s="3" t="s">
        <v>7</v>
      </c>
      <c r="J448" s="3" t="s">
        <v>217</v>
      </c>
      <c r="K448" s="3" t="s">
        <v>219</v>
      </c>
      <c r="L448" s="12">
        <v>634890</v>
      </c>
      <c r="M448" s="11">
        <v>2817089</v>
      </c>
    </row>
    <row r="449" spans="1:13">
      <c r="A449" s="15">
        <v>46235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7">
        <f>IFERROR(VLOOKUP(F449,Hoja2!$K$2:$M$1198,2,FALSE),0)</f>
        <v>11001000</v>
      </c>
      <c r="H449" s="17">
        <f>IFERROR(VLOOKUP(F449,Hoja2!$K$2:$M$1198,3,FALSE),0)</f>
        <v>25430000</v>
      </c>
      <c r="I449" s="3" t="s">
        <v>7</v>
      </c>
      <c r="J449" s="3" t="s">
        <v>217</v>
      </c>
      <c r="K449" s="3" t="s">
        <v>219</v>
      </c>
      <c r="L449" s="12">
        <v>518820</v>
      </c>
      <c r="M449" s="11">
        <v>601512</v>
      </c>
    </row>
    <row r="450" spans="1:13">
      <c r="A450" s="15">
        <v>46235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7">
        <f>IFERROR(VLOOKUP(F450,Hoja2!$K$2:$M$1198,2,FALSE),0)</f>
        <v>11001000</v>
      </c>
      <c r="H450" s="17">
        <f>IFERROR(VLOOKUP(F450,Hoja2!$K$2:$M$1198,3,FALSE),0)</f>
        <v>25799000</v>
      </c>
      <c r="I450" s="3" t="s">
        <v>7</v>
      </c>
      <c r="J450" s="3" t="s">
        <v>217</v>
      </c>
      <c r="K450" s="3" t="s">
        <v>219</v>
      </c>
      <c r="L450" s="12">
        <v>518820</v>
      </c>
      <c r="M450" s="11">
        <v>599128</v>
      </c>
    </row>
    <row r="451" spans="1:13">
      <c r="A451" s="15">
        <v>46235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7">
        <f>IFERROR(VLOOKUP(F451,Hoja2!$K$2:$M$1198,2,FALSE),0)</f>
        <v>25799000</v>
      </c>
      <c r="H451" s="17">
        <f>IFERROR(VLOOKUP(F451,Hoja2!$K$2:$M$1198,3,FALSE),0)</f>
        <v>73001000</v>
      </c>
      <c r="I451" s="3" t="s">
        <v>7</v>
      </c>
      <c r="J451" s="3" t="s">
        <v>217</v>
      </c>
      <c r="K451" s="3" t="s">
        <v>219</v>
      </c>
      <c r="L451" s="12">
        <v>520030</v>
      </c>
      <c r="M451" s="11">
        <v>954171</v>
      </c>
    </row>
    <row r="452" spans="1:13">
      <c r="A452" s="15">
        <v>46235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7">
        <f>IFERROR(VLOOKUP(F452,Hoja2!$K$2:$M$1198,2,FALSE),0)</f>
        <v>25799000</v>
      </c>
      <c r="H452" s="17">
        <f>IFERROR(VLOOKUP(F452,Hoja2!$K$2:$M$1198,3,FALSE),0)</f>
        <v>41001000</v>
      </c>
      <c r="I452" s="3" t="s">
        <v>7</v>
      </c>
      <c r="J452" s="3" t="s">
        <v>217</v>
      </c>
      <c r="K452" s="3" t="s">
        <v>219</v>
      </c>
      <c r="L452" s="12">
        <v>537214</v>
      </c>
      <c r="M452" s="11">
        <v>2627577</v>
      </c>
    </row>
    <row r="453" spans="1:13">
      <c r="A453" s="15">
        <v>46235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7">
        <f>IFERROR(VLOOKUP(F453,Hoja2!$K$2:$M$1198,2,FALSE),0)</f>
        <v>41001000</v>
      </c>
      <c r="H453" s="17">
        <f>IFERROR(VLOOKUP(F453,Hoja2!$K$2:$M$1198,3,FALSE),0)</f>
        <v>73001000</v>
      </c>
      <c r="I453" s="3" t="s">
        <v>7</v>
      </c>
      <c r="J453" s="3" t="s">
        <v>217</v>
      </c>
      <c r="K453" s="3" t="s">
        <v>219</v>
      </c>
      <c r="L453" s="12">
        <v>616420</v>
      </c>
      <c r="M453" s="11">
        <v>1080187</v>
      </c>
    </row>
    <row r="454" spans="1:13">
      <c r="A454" s="15">
        <v>46235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7">
        <f>IFERROR(VLOOKUP(F454,Hoja2!$K$2:$M$1198,2,FALSE),0)</f>
        <v>50001000</v>
      </c>
      <c r="H454" s="17">
        <f>IFERROR(VLOOKUP(F454,Hoja2!$K$2:$M$1198,3,FALSE),0)</f>
        <v>50313000</v>
      </c>
      <c r="I454" s="3" t="s">
        <v>7</v>
      </c>
      <c r="J454" s="3" t="s">
        <v>217</v>
      </c>
      <c r="K454" s="3" t="s">
        <v>219</v>
      </c>
      <c r="L454" s="12">
        <v>573342</v>
      </c>
      <c r="M454" s="11">
        <v>733239</v>
      </c>
    </row>
    <row r="455" spans="1:13">
      <c r="A455" s="15">
        <v>46235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7">
        <f>IFERROR(VLOOKUP(F455,Hoja2!$K$2:$M$1198,2,FALSE),0)</f>
        <v>66170000</v>
      </c>
      <c r="H455" s="17">
        <f>IFERROR(VLOOKUP(F455,Hoja2!$K$2:$M$1198,3,FALSE),0)</f>
        <v>41001000</v>
      </c>
      <c r="I455" s="3" t="s">
        <v>7</v>
      </c>
      <c r="J455" s="3" t="s">
        <v>217</v>
      </c>
      <c r="K455" s="3" t="s">
        <v>219</v>
      </c>
      <c r="L455" s="12">
        <v>717000</v>
      </c>
      <c r="M455" s="11">
        <v>1758729</v>
      </c>
    </row>
    <row r="456" spans="1:13">
      <c r="A456" s="15">
        <v>46235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7">
        <f>IFERROR(VLOOKUP(F456,Hoja2!$K$2:$M$1198,2,FALSE),0)</f>
        <v>25799000</v>
      </c>
      <c r="H456" s="17">
        <f>IFERROR(VLOOKUP(F456,Hoja2!$K$2:$M$1198,3,FALSE),0)</f>
        <v>5001000</v>
      </c>
      <c r="I456" s="3" t="s">
        <v>7</v>
      </c>
      <c r="J456" s="3" t="s">
        <v>217</v>
      </c>
      <c r="K456" s="3" t="s">
        <v>219</v>
      </c>
      <c r="L456" s="12">
        <v>487525</v>
      </c>
      <c r="M456" s="11">
        <v>1836030</v>
      </c>
    </row>
    <row r="457" spans="1:13">
      <c r="A457" s="15">
        <v>46235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7">
        <f>IFERROR(VLOOKUP(F457,Hoja2!$K$2:$M$1198,2,FALSE),0)</f>
        <v>25799000</v>
      </c>
      <c r="H457" s="17">
        <f>IFERROR(VLOOKUP(F457,Hoja2!$K$2:$M$1198,3,FALSE),0)</f>
        <v>76001000</v>
      </c>
      <c r="I457" s="3" t="s">
        <v>7</v>
      </c>
      <c r="J457" s="3" t="s">
        <v>217</v>
      </c>
      <c r="K457" s="3" t="s">
        <v>219</v>
      </c>
      <c r="L457" s="12">
        <v>617759</v>
      </c>
      <c r="M457" s="11">
        <v>2679942</v>
      </c>
    </row>
    <row r="458" spans="1:13">
      <c r="A458" s="15">
        <v>46235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7">
        <f>IFERROR(VLOOKUP(F458,Hoja2!$K$2:$M$1198,2,FALSE),0)</f>
        <v>23001000</v>
      </c>
      <c r="H458" s="17">
        <f>IFERROR(VLOOKUP(F458,Hoja2!$K$2:$M$1198,3,FALSE),0)</f>
        <v>5001000</v>
      </c>
      <c r="I458" s="3" t="s">
        <v>7</v>
      </c>
      <c r="J458" s="3" t="s">
        <v>217</v>
      </c>
      <c r="K458" s="3" t="s">
        <v>219</v>
      </c>
      <c r="L458" s="12">
        <v>534310</v>
      </c>
      <c r="M458" s="11">
        <v>2456936</v>
      </c>
    </row>
    <row r="459" spans="1:13">
      <c r="A459" s="15">
        <v>46235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7">
        <f>IFERROR(VLOOKUP(F459,Hoja2!$K$2:$M$1198,2,FALSE),0)</f>
        <v>15238000</v>
      </c>
      <c r="H459" s="17">
        <f>IFERROR(VLOOKUP(F459,Hoja2!$K$2:$M$1198,3,FALSE),0)</f>
        <v>15176000</v>
      </c>
      <c r="I459" s="3" t="s">
        <v>7</v>
      </c>
      <c r="J459" s="3" t="s">
        <v>217</v>
      </c>
      <c r="K459" s="3" t="s">
        <v>219</v>
      </c>
      <c r="L459" s="12">
        <v>521220</v>
      </c>
      <c r="M459" s="11">
        <v>845097</v>
      </c>
    </row>
    <row r="460" spans="1:13">
      <c r="A460" s="15">
        <v>46235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7">
        <f>IFERROR(VLOOKUP(F460,Hoja2!$K$2:$M$1198,2,FALSE),0)</f>
        <v>25799000</v>
      </c>
      <c r="H460" s="17">
        <f>IFERROR(VLOOKUP(F460,Hoja2!$K$2:$M$1198,3,FALSE),0)</f>
        <v>11001000</v>
      </c>
      <c r="I460" s="3" t="s">
        <v>7</v>
      </c>
      <c r="J460" s="3" t="s">
        <v>217</v>
      </c>
      <c r="K460" s="3" t="s">
        <v>219</v>
      </c>
      <c r="L460" s="12">
        <v>1041250</v>
      </c>
      <c r="M460" s="11">
        <v>641212</v>
      </c>
    </row>
    <row r="461" spans="1:13">
      <c r="A461" s="15">
        <v>46235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7">
        <f>IFERROR(VLOOKUP(F461,Hoja2!$K$2:$M$1198,2,FALSE),0)</f>
        <v>5088000</v>
      </c>
      <c r="H461" s="17">
        <f>IFERROR(VLOOKUP(F461,Hoja2!$K$2:$M$1198,3,FALSE),0)</f>
        <v>76111000</v>
      </c>
      <c r="I461" s="3" t="s">
        <v>7</v>
      </c>
      <c r="J461" s="3" t="s">
        <v>217</v>
      </c>
      <c r="K461" s="3" t="s">
        <v>219</v>
      </c>
      <c r="L461" s="12">
        <v>694139</v>
      </c>
      <c r="M461" s="11">
        <v>1844878</v>
      </c>
    </row>
    <row r="462" spans="1:13">
      <c r="A462" s="15">
        <v>46235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7">
        <f>IFERROR(VLOOKUP(F462,Hoja2!$K$2:$M$1198,2,FALSE),0)</f>
        <v>5001000</v>
      </c>
      <c r="H462" s="17">
        <f>IFERROR(VLOOKUP(F462,Hoja2!$K$2:$M$1198,3,FALSE),0)</f>
        <v>5154000</v>
      </c>
      <c r="I462" s="3" t="s">
        <v>7</v>
      </c>
      <c r="J462" s="3" t="s">
        <v>217</v>
      </c>
      <c r="K462" s="3" t="s">
        <v>219</v>
      </c>
      <c r="L462" s="12">
        <v>781711</v>
      </c>
      <c r="M462" s="11">
        <v>1565855</v>
      </c>
    </row>
    <row r="463" spans="1:13">
      <c r="A463" s="15">
        <v>46235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7">
        <f>IFERROR(VLOOKUP(F463,Hoja2!$K$2:$M$1198,2,FALSE),0)</f>
        <v>11001000</v>
      </c>
      <c r="H463" s="17">
        <f>IFERROR(VLOOKUP(F463,Hoja2!$K$2:$M$1198,3,FALSE),0)</f>
        <v>17001000</v>
      </c>
      <c r="I463" s="3" t="s">
        <v>7</v>
      </c>
      <c r="J463" s="3" t="s">
        <v>217</v>
      </c>
      <c r="K463" s="3" t="s">
        <v>219</v>
      </c>
      <c r="L463" s="12">
        <v>717506</v>
      </c>
      <c r="M463" s="11">
        <v>1819283</v>
      </c>
    </row>
    <row r="464" spans="1:13">
      <c r="A464" s="15">
        <v>46235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7">
        <f>IFERROR(VLOOKUP(F464,Hoja2!$K$2:$M$1198,2,FALSE),0)</f>
        <v>5001000</v>
      </c>
      <c r="H464" s="17">
        <f>IFERROR(VLOOKUP(F464,Hoja2!$K$2:$M$1198,3,FALSE),0)</f>
        <v>18001000</v>
      </c>
      <c r="I464" s="3" t="s">
        <v>7</v>
      </c>
      <c r="J464" s="3" t="s">
        <v>217</v>
      </c>
      <c r="K464" s="3" t="s">
        <v>219</v>
      </c>
      <c r="L464" s="12">
        <v>709864</v>
      </c>
      <c r="M464" s="11">
        <v>3775712</v>
      </c>
    </row>
    <row r="465" spans="1:13">
      <c r="A465" s="15">
        <v>46235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7">
        <f>IFERROR(VLOOKUP(F465,Hoja2!$K$2:$M$1198,2,FALSE),0)</f>
        <v>11001000</v>
      </c>
      <c r="H465" s="17">
        <f>IFERROR(VLOOKUP(F465,Hoja2!$K$2:$M$1198,3,FALSE),0)</f>
        <v>76895000</v>
      </c>
      <c r="I465" s="3" t="s">
        <v>7</v>
      </c>
      <c r="J465" s="3" t="s">
        <v>217</v>
      </c>
      <c r="K465" s="3" t="s">
        <v>219</v>
      </c>
      <c r="L465" s="12">
        <v>509811</v>
      </c>
      <c r="M465" s="11">
        <v>1669668</v>
      </c>
    </row>
    <row r="466" spans="1:13">
      <c r="A466" s="15">
        <v>46235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7">
        <f>IFERROR(VLOOKUP(F466,Hoja2!$K$2:$M$1198,2,FALSE),0)</f>
        <v>11001000</v>
      </c>
      <c r="H466" s="17">
        <f>IFERROR(VLOOKUP(F466,Hoja2!$K$2:$M$1198,3,FALSE),0)</f>
        <v>73443000</v>
      </c>
      <c r="I466" s="3" t="s">
        <v>7</v>
      </c>
      <c r="J466" s="3" t="s">
        <v>217</v>
      </c>
      <c r="K466" s="3" t="s">
        <v>219</v>
      </c>
      <c r="L466" s="12">
        <v>1151900</v>
      </c>
      <c r="M466" s="11">
        <v>1038685</v>
      </c>
    </row>
    <row r="467" spans="1:13">
      <c r="A467" s="15">
        <v>46235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7">
        <f>IFERROR(VLOOKUP(F467,Hoja2!$K$2:$M$1198,2,FALSE),0)</f>
        <v>11001000</v>
      </c>
      <c r="H467" s="17">
        <f>IFERROR(VLOOKUP(F467,Hoja2!$K$2:$M$1198,3,FALSE),0)</f>
        <v>52356000</v>
      </c>
      <c r="I467" s="3" t="s">
        <v>7</v>
      </c>
      <c r="J467" s="3" t="s">
        <v>217</v>
      </c>
      <c r="K467" s="3" t="s">
        <v>219</v>
      </c>
      <c r="L467" s="12">
        <v>589072</v>
      </c>
      <c r="M467" s="11">
        <v>4110929</v>
      </c>
    </row>
    <row r="468" spans="1:13">
      <c r="A468" s="15">
        <v>46235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7">
        <f>IFERROR(VLOOKUP(F468,Hoja2!$K$2:$M$1198,2,FALSE),0)</f>
        <v>5088000</v>
      </c>
      <c r="H468" s="17">
        <f>IFERROR(VLOOKUP(F468,Hoja2!$K$2:$M$1198,3,FALSE),0)</f>
        <v>76001000</v>
      </c>
      <c r="I468" s="3" t="s">
        <v>7</v>
      </c>
      <c r="J468" s="3" t="s">
        <v>217</v>
      </c>
      <c r="K468" s="3" t="s">
        <v>219</v>
      </c>
      <c r="L468" s="12">
        <v>572418</v>
      </c>
      <c r="M468" s="11">
        <v>2086095</v>
      </c>
    </row>
    <row r="469" spans="1:13">
      <c r="A469" s="15">
        <v>46235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7">
        <f>IFERROR(VLOOKUP(F469,Hoja2!$K$2:$M$1198,2,FALSE),0)</f>
        <v>5001000</v>
      </c>
      <c r="H469" s="17">
        <f>IFERROR(VLOOKUP(F469,Hoja2!$K$2:$M$1198,3,FALSE),0)</f>
        <v>15001000</v>
      </c>
      <c r="I469" s="3" t="s">
        <v>7</v>
      </c>
      <c r="J469" s="3" t="s">
        <v>217</v>
      </c>
      <c r="K469" s="3" t="s">
        <v>219</v>
      </c>
      <c r="L469" s="12">
        <v>517650</v>
      </c>
      <c r="M469" s="11">
        <v>2634335</v>
      </c>
    </row>
    <row r="470" spans="1:13">
      <c r="A470" s="15">
        <v>46235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7">
        <f>IFERROR(VLOOKUP(F470,Hoja2!$K$2:$M$1198,2,FALSE),0)</f>
        <v>5088000</v>
      </c>
      <c r="H470" s="17">
        <f>IFERROR(VLOOKUP(F470,Hoja2!$K$2:$M$1198,3,FALSE),0)</f>
        <v>25430000</v>
      </c>
      <c r="I470" s="3" t="s">
        <v>7</v>
      </c>
      <c r="J470" s="3" t="s">
        <v>217</v>
      </c>
      <c r="K470" s="3" t="s">
        <v>219</v>
      </c>
      <c r="L470" s="12">
        <v>518840</v>
      </c>
      <c r="M470" s="11">
        <v>1879048</v>
      </c>
    </row>
    <row r="471" spans="1:13">
      <c r="A471" s="15">
        <v>46235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7">
        <f>IFERROR(VLOOKUP(F471,Hoja2!$K$2:$M$1198,2,FALSE),0)</f>
        <v>11001000</v>
      </c>
      <c r="H471" s="17">
        <f>IFERROR(VLOOKUP(F471,Hoja2!$K$2:$M$1198,3,FALSE),0)</f>
        <v>5001000</v>
      </c>
      <c r="I471" s="3" t="s">
        <v>7</v>
      </c>
      <c r="J471" s="3" t="s">
        <v>217</v>
      </c>
      <c r="K471" s="3" t="s">
        <v>219</v>
      </c>
      <c r="L471" s="12">
        <v>540965</v>
      </c>
      <c r="M471" s="11">
        <v>1982779</v>
      </c>
    </row>
    <row r="472" spans="1:13">
      <c r="A472" s="15">
        <v>46235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7">
        <f>IFERROR(VLOOKUP(F472,Hoja2!$K$2:$M$1198,2,FALSE),0)</f>
        <v>66001000</v>
      </c>
      <c r="H472" s="17">
        <f>IFERROR(VLOOKUP(F472,Hoja2!$K$2:$M$1198,3,FALSE),0)</f>
        <v>76892000</v>
      </c>
      <c r="I472" s="3" t="s">
        <v>7</v>
      </c>
      <c r="J472" s="3" t="s">
        <v>217</v>
      </c>
      <c r="K472" s="3" t="s">
        <v>219</v>
      </c>
      <c r="L472" s="12">
        <v>619420</v>
      </c>
      <c r="M472" s="11">
        <v>1019521</v>
      </c>
    </row>
    <row r="473" spans="1:13">
      <c r="A473" s="15">
        <v>46235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7">
        <f>IFERROR(VLOOKUP(F473,Hoja2!$K$2:$M$1198,2,FALSE),0)</f>
        <v>11001000</v>
      </c>
      <c r="H473" s="17">
        <f>IFERROR(VLOOKUP(F473,Hoja2!$K$2:$M$1198,3,FALSE),0)</f>
        <v>52001000</v>
      </c>
      <c r="I473" s="3" t="s">
        <v>7</v>
      </c>
      <c r="J473" s="3" t="s">
        <v>217</v>
      </c>
      <c r="K473" s="3" t="s">
        <v>219</v>
      </c>
      <c r="L473" s="12">
        <v>632072</v>
      </c>
      <c r="M473" s="11">
        <v>3821399</v>
      </c>
    </row>
    <row r="474" spans="1:13">
      <c r="A474" s="15">
        <v>46235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7">
        <f>IFERROR(VLOOKUP(F474,Hoja2!$K$2:$M$1198,2,FALSE),0)</f>
        <v>5001000</v>
      </c>
      <c r="H474" s="17">
        <f>IFERROR(VLOOKUP(F474,Hoja2!$K$2:$M$1198,3,FALSE),0)</f>
        <v>52001000</v>
      </c>
      <c r="I474" s="3" t="s">
        <v>7</v>
      </c>
      <c r="J474" s="3" t="s">
        <v>217</v>
      </c>
      <c r="K474" s="3" t="s">
        <v>219</v>
      </c>
      <c r="L474" s="12">
        <v>632092</v>
      </c>
      <c r="M474" s="11">
        <v>3745789</v>
      </c>
    </row>
    <row r="475" spans="1:13">
      <c r="A475" s="15">
        <v>46235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7">
        <f>IFERROR(VLOOKUP(F475,Hoja2!$K$2:$M$1198,2,FALSE),0)</f>
        <v>5088000</v>
      </c>
      <c r="H475" s="17">
        <f>IFERROR(VLOOKUP(F475,Hoja2!$K$2:$M$1198,3,FALSE),0)</f>
        <v>11001000</v>
      </c>
      <c r="I475" s="3" t="s">
        <v>7</v>
      </c>
      <c r="J475" s="3" t="s">
        <v>217</v>
      </c>
      <c r="K475" s="3" t="s">
        <v>219</v>
      </c>
      <c r="L475" s="12">
        <v>509587</v>
      </c>
      <c r="M475" s="11">
        <v>1966403</v>
      </c>
    </row>
    <row r="476" spans="1:13">
      <c r="A476" s="15">
        <v>46235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7">
        <f>IFERROR(VLOOKUP(F476,Hoja2!$K$2:$M$1198,2,FALSE),0)</f>
        <v>5088000</v>
      </c>
      <c r="H476" s="17">
        <f>IFERROR(VLOOKUP(F476,Hoja2!$K$2:$M$1198,3,FALSE),0)</f>
        <v>76109000</v>
      </c>
      <c r="I476" s="3" t="s">
        <v>7</v>
      </c>
      <c r="J476" s="3" t="s">
        <v>217</v>
      </c>
      <c r="K476" s="3" t="s">
        <v>219</v>
      </c>
      <c r="L476" s="12">
        <v>847016</v>
      </c>
      <c r="M476" s="11">
        <v>2031237</v>
      </c>
    </row>
    <row r="477" spans="1:13">
      <c r="A477" s="15">
        <v>46235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7">
        <f>IFERROR(VLOOKUP(F477,Hoja2!$K$2:$M$1198,2,FALSE),0)</f>
        <v>11001000</v>
      </c>
      <c r="H477" s="17">
        <f>IFERROR(VLOOKUP(F477,Hoja2!$K$2:$M$1198,3,FALSE),0)</f>
        <v>70001000</v>
      </c>
      <c r="I477" s="3" t="s">
        <v>7</v>
      </c>
      <c r="J477" s="3" t="s">
        <v>217</v>
      </c>
      <c r="K477" s="3" t="s">
        <v>219</v>
      </c>
      <c r="L477" s="12">
        <v>710088</v>
      </c>
      <c r="M477" s="11">
        <v>4292622</v>
      </c>
    </row>
    <row r="478" spans="1:13">
      <c r="A478" s="15">
        <v>46235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7">
        <f>IFERROR(VLOOKUP(F478,Hoja2!$K$2:$M$1198,2,FALSE),0)</f>
        <v>11001000</v>
      </c>
      <c r="H478" s="17">
        <f>IFERROR(VLOOKUP(F478,Hoja2!$K$2:$M$1198,3,FALSE),0)</f>
        <v>76109000</v>
      </c>
      <c r="I478" s="3" t="s">
        <v>7</v>
      </c>
      <c r="J478" s="3" t="s">
        <v>217</v>
      </c>
      <c r="K478" s="3" t="s">
        <v>219</v>
      </c>
      <c r="L478" s="12">
        <v>847241</v>
      </c>
      <c r="M478" s="11">
        <v>2505419</v>
      </c>
    </row>
    <row r="479" spans="1:13">
      <c r="A479" s="15">
        <v>46235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7">
        <f>IFERROR(VLOOKUP(F479,Hoja2!$K$2:$M$1198,2,FALSE),0)</f>
        <v>5001000</v>
      </c>
      <c r="H479" s="17">
        <f>IFERROR(VLOOKUP(F479,Hoja2!$K$2:$M$1198,3,FALSE),0)</f>
        <v>85001000</v>
      </c>
      <c r="I479" s="3" t="s">
        <v>7</v>
      </c>
      <c r="J479" s="3" t="s">
        <v>217</v>
      </c>
      <c r="K479" s="3" t="s">
        <v>219</v>
      </c>
      <c r="L479" s="12">
        <v>560286</v>
      </c>
      <c r="M479" s="11">
        <v>3745249</v>
      </c>
    </row>
    <row r="480" spans="1:13">
      <c r="A480" s="15">
        <v>46235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7">
        <f>IFERROR(VLOOKUP(F480,Hoja2!$K$2:$M$1198,2,FALSE),0)</f>
        <v>11001000</v>
      </c>
      <c r="H480" s="17">
        <f>IFERROR(VLOOKUP(F480,Hoja2!$K$2:$M$1198,3,FALSE),0)</f>
        <v>17001000</v>
      </c>
      <c r="I480" s="3" t="s">
        <v>7</v>
      </c>
      <c r="J480" s="3" t="s">
        <v>217</v>
      </c>
      <c r="K480" s="3" t="s">
        <v>219</v>
      </c>
      <c r="L480" s="12">
        <v>620770</v>
      </c>
      <c r="M480" s="11">
        <v>1611466</v>
      </c>
    </row>
    <row r="481" spans="1:13">
      <c r="A481" s="15">
        <v>46235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7">
        <f>IFERROR(VLOOKUP(F481,Hoja2!$K$2:$M$1198,2,FALSE),0)</f>
        <v>11001000</v>
      </c>
      <c r="H481" s="17">
        <f>IFERROR(VLOOKUP(F481,Hoja2!$K$2:$M$1198,3,FALSE),0)</f>
        <v>20001000</v>
      </c>
      <c r="I481" s="3" t="s">
        <v>7</v>
      </c>
      <c r="J481" s="3" t="s">
        <v>217</v>
      </c>
      <c r="K481" s="3" t="s">
        <v>219</v>
      </c>
      <c r="L481" s="12">
        <v>1147731</v>
      </c>
      <c r="M481" s="11">
        <v>4018656</v>
      </c>
    </row>
    <row r="482" spans="1:13">
      <c r="A482" s="15">
        <v>46235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7">
        <f>IFERROR(VLOOKUP(F482,Hoja2!$K$2:$M$1198,2,FALSE),0)</f>
        <v>5001000</v>
      </c>
      <c r="H482" s="17">
        <f>IFERROR(VLOOKUP(F482,Hoja2!$K$2:$M$1198,3,FALSE),0)</f>
        <v>15238000</v>
      </c>
      <c r="I482" s="3" t="s">
        <v>7</v>
      </c>
      <c r="J482" s="3" t="s">
        <v>217</v>
      </c>
      <c r="K482" s="3" t="s">
        <v>219</v>
      </c>
      <c r="L482" s="12">
        <v>568928</v>
      </c>
      <c r="M482" s="11">
        <v>2682436</v>
      </c>
    </row>
    <row r="483" spans="1:13">
      <c r="A483" s="15">
        <v>46235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7">
        <f>IFERROR(VLOOKUP(F483,Hoja2!$K$2:$M$1198,2,FALSE),0)</f>
        <v>15238000</v>
      </c>
      <c r="H483" s="17">
        <f>IFERROR(VLOOKUP(F483,Hoja2!$K$2:$M$1198,3,FALSE),0)</f>
        <v>5001000</v>
      </c>
      <c r="I483" s="3" t="s">
        <v>7</v>
      </c>
      <c r="J483" s="3" t="s">
        <v>217</v>
      </c>
      <c r="K483" s="3" t="s">
        <v>219</v>
      </c>
      <c r="L483" s="12">
        <v>552364</v>
      </c>
      <c r="M483" s="11">
        <v>2805329</v>
      </c>
    </row>
    <row r="484" spans="1:13">
      <c r="A484" s="15">
        <v>46235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7">
        <f>IFERROR(VLOOKUP(F484,Hoja2!$K$2:$M$1198,2,FALSE),0)</f>
        <v>11001000</v>
      </c>
      <c r="H484" s="17">
        <f>IFERROR(VLOOKUP(F484,Hoja2!$K$2:$M$1198,3,FALSE),0)</f>
        <v>17001000</v>
      </c>
      <c r="I484" s="3" t="s">
        <v>7</v>
      </c>
      <c r="J484" s="3" t="s">
        <v>217</v>
      </c>
      <c r="K484" s="3" t="s">
        <v>219</v>
      </c>
      <c r="L484" s="12">
        <v>806518</v>
      </c>
      <c r="M484" s="11">
        <v>1791853</v>
      </c>
    </row>
    <row r="485" spans="1:13">
      <c r="A485" s="15">
        <v>46235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7">
        <f>IFERROR(VLOOKUP(F485,Hoja2!$K$2:$M$1198,2,FALSE),0)</f>
        <v>25799000</v>
      </c>
      <c r="H485" s="17">
        <f>IFERROR(VLOOKUP(F485,Hoja2!$K$2:$M$1198,3,FALSE),0)</f>
        <v>52001000</v>
      </c>
      <c r="I485" s="3" t="s">
        <v>7</v>
      </c>
      <c r="J485" s="3" t="s">
        <v>217</v>
      </c>
      <c r="K485" s="3" t="s">
        <v>219</v>
      </c>
      <c r="L485" s="12">
        <v>589092</v>
      </c>
      <c r="M485" s="11">
        <v>4089195</v>
      </c>
    </row>
    <row r="486" spans="1:13">
      <c r="A486" s="15">
        <v>46235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7">
        <f>IFERROR(VLOOKUP(F486,Hoja2!$K$2:$M$1198,2,FALSE),0)</f>
        <v>5088000</v>
      </c>
      <c r="H486" s="17">
        <f>IFERROR(VLOOKUP(F486,Hoja2!$K$2:$M$1198,3,FALSE),0)</f>
        <v>73001000</v>
      </c>
      <c r="I486" s="3" t="s">
        <v>7</v>
      </c>
      <c r="J486" s="3" t="s">
        <v>217</v>
      </c>
      <c r="K486" s="3" t="s">
        <v>219</v>
      </c>
      <c r="L486" s="12">
        <v>520030</v>
      </c>
      <c r="M486" s="11">
        <v>1936481</v>
      </c>
    </row>
    <row r="487" spans="1:13">
      <c r="A487" s="15">
        <v>46235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7">
        <f>IFERROR(VLOOKUP(F487,Hoja2!$K$2:$M$1198,2,FALSE),0)</f>
        <v>15238000</v>
      </c>
      <c r="H487" s="17">
        <f>IFERROR(VLOOKUP(F487,Hoja2!$K$2:$M$1198,3,FALSE),0)</f>
        <v>41001000</v>
      </c>
      <c r="I487" s="3" t="s">
        <v>7</v>
      </c>
      <c r="J487" s="3" t="s">
        <v>217</v>
      </c>
      <c r="K487" s="3" t="s">
        <v>219</v>
      </c>
      <c r="L487" s="12">
        <v>1067549</v>
      </c>
      <c r="M487" s="11">
        <v>2701307</v>
      </c>
    </row>
    <row r="488" spans="1:13">
      <c r="A488" s="15">
        <v>46235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7">
        <f>IFERROR(VLOOKUP(F488,Hoja2!$K$2:$M$1198,2,FALSE),0)</f>
        <v>11001000</v>
      </c>
      <c r="H488" s="17">
        <f>IFERROR(VLOOKUP(F488,Hoja2!$K$2:$M$1198,3,FALSE),0)</f>
        <v>44001000</v>
      </c>
      <c r="I488" s="3" t="s">
        <v>7</v>
      </c>
      <c r="J488" s="3" t="s">
        <v>217</v>
      </c>
      <c r="K488" s="3" t="s">
        <v>219</v>
      </c>
      <c r="L488" s="12">
        <v>673000</v>
      </c>
      <c r="M488" s="11">
        <v>4371677</v>
      </c>
    </row>
    <row r="489" spans="1:13">
      <c r="A489" s="15">
        <v>46235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7">
        <f>IFERROR(VLOOKUP(F489,Hoja2!$K$2:$M$1198,2,FALSE),0)</f>
        <v>54001000</v>
      </c>
      <c r="H489" s="17">
        <f>IFERROR(VLOOKUP(F489,Hoja2!$K$2:$M$1198,3,FALSE),0)</f>
        <v>11001000</v>
      </c>
      <c r="I489" s="3" t="s">
        <v>7</v>
      </c>
      <c r="J489" s="3" t="s">
        <v>217</v>
      </c>
      <c r="K489" s="3" t="s">
        <v>219</v>
      </c>
      <c r="L489" s="12">
        <v>518820</v>
      </c>
      <c r="M489" s="11">
        <v>2828179</v>
      </c>
    </row>
    <row r="490" spans="1:13">
      <c r="A490" s="15">
        <v>46235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7">
        <f>IFERROR(VLOOKUP(F490,Hoja2!$K$2:$M$1198,2,FALSE),0)</f>
        <v>5088000</v>
      </c>
      <c r="H490" s="17">
        <f>IFERROR(VLOOKUP(F490,Hoja2!$K$2:$M$1198,3,FALSE),0)</f>
        <v>73001000</v>
      </c>
      <c r="I490" s="3" t="s">
        <v>7</v>
      </c>
      <c r="J490" s="3" t="s">
        <v>217</v>
      </c>
      <c r="K490" s="3" t="s">
        <v>219</v>
      </c>
      <c r="L490" s="12">
        <v>1151920</v>
      </c>
      <c r="M490" s="11">
        <v>1602341</v>
      </c>
    </row>
    <row r="491" spans="1:13">
      <c r="A491" s="15">
        <v>46235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7">
        <f>IFERROR(VLOOKUP(F491,Hoja2!$K$2:$M$1198,2,FALSE),0)</f>
        <v>11001000</v>
      </c>
      <c r="H491" s="17">
        <f>IFERROR(VLOOKUP(F491,Hoja2!$K$2:$M$1198,3,FALSE),0)</f>
        <v>25899000</v>
      </c>
      <c r="I491" s="3" t="s">
        <v>7</v>
      </c>
      <c r="J491" s="3" t="s">
        <v>217</v>
      </c>
      <c r="K491" s="3" t="s">
        <v>219</v>
      </c>
      <c r="L491" s="12">
        <v>470169</v>
      </c>
      <c r="M491" s="11">
        <v>720972</v>
      </c>
    </row>
    <row r="492" spans="1:13">
      <c r="A492" s="15">
        <v>46235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7">
        <f>IFERROR(VLOOKUP(F492,Hoja2!$K$2:$M$1198,2,FALSE),0)</f>
        <v>15238000</v>
      </c>
      <c r="H492" s="17">
        <f>IFERROR(VLOOKUP(F492,Hoja2!$K$2:$M$1198,3,FALSE),0)</f>
        <v>47001000</v>
      </c>
      <c r="I492" s="3" t="s">
        <v>7</v>
      </c>
      <c r="J492" s="3" t="s">
        <v>217</v>
      </c>
      <c r="K492" s="3" t="s">
        <v>219</v>
      </c>
      <c r="L492" s="12">
        <v>738776</v>
      </c>
      <c r="M492" s="11">
        <v>2999120</v>
      </c>
    </row>
    <row r="493" spans="1:13">
      <c r="A493" s="15">
        <v>46235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7">
        <f>IFERROR(VLOOKUP(F493,Hoja2!$K$2:$M$1198,2,FALSE),0)</f>
        <v>15238000</v>
      </c>
      <c r="H493" s="17">
        <f>IFERROR(VLOOKUP(F493,Hoja2!$K$2:$M$1198,3,FALSE),0)</f>
        <v>20001000</v>
      </c>
      <c r="I493" s="3" t="s">
        <v>7</v>
      </c>
      <c r="J493" s="3" t="s">
        <v>217</v>
      </c>
      <c r="K493" s="3" t="s">
        <v>219</v>
      </c>
      <c r="L493" s="12">
        <v>1105599</v>
      </c>
      <c r="M493" s="11">
        <v>3808129</v>
      </c>
    </row>
    <row r="494" spans="1:13">
      <c r="A494" s="15">
        <v>46235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7">
        <f>IFERROR(VLOOKUP(F494,Hoja2!$K$2:$M$1198,2,FALSE),0)</f>
        <v>5001000</v>
      </c>
      <c r="H494" s="17">
        <f>IFERROR(VLOOKUP(F494,Hoja2!$K$2:$M$1198,3,FALSE),0)</f>
        <v>41001000</v>
      </c>
      <c r="I494" s="3" t="s">
        <v>7</v>
      </c>
      <c r="J494" s="3" t="s">
        <v>217</v>
      </c>
      <c r="K494" s="3" t="s">
        <v>219</v>
      </c>
      <c r="L494" s="12">
        <v>1092420</v>
      </c>
      <c r="M494" s="11">
        <v>2961717</v>
      </c>
    </row>
    <row r="495" spans="1:13">
      <c r="A495" s="15">
        <v>46235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7">
        <f>IFERROR(VLOOKUP(F495,Hoja2!$K$2:$M$1198,2,FALSE),0)</f>
        <v>5001000</v>
      </c>
      <c r="H495" s="17">
        <f>IFERROR(VLOOKUP(F495,Hoja2!$K$2:$M$1198,3,FALSE),0)</f>
        <v>15238000</v>
      </c>
      <c r="I495" s="3" t="s">
        <v>7</v>
      </c>
      <c r="J495" s="3" t="s">
        <v>217</v>
      </c>
      <c r="K495" s="3" t="s">
        <v>219</v>
      </c>
      <c r="L495" s="12">
        <v>546091</v>
      </c>
      <c r="M495" s="11">
        <v>2557757</v>
      </c>
    </row>
    <row r="496" spans="1:13">
      <c r="A496" s="15">
        <v>46235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7">
        <f>IFERROR(VLOOKUP(F496,Hoja2!$K$2:$M$1198,2,FALSE),0)</f>
        <v>5088000</v>
      </c>
      <c r="H496" s="17">
        <f>IFERROR(VLOOKUP(F496,Hoja2!$K$2:$M$1198,3,FALSE),0)</f>
        <v>76001000</v>
      </c>
      <c r="I496" s="3" t="s">
        <v>7</v>
      </c>
      <c r="J496" s="3" t="s">
        <v>217</v>
      </c>
      <c r="K496" s="3" t="s">
        <v>219</v>
      </c>
      <c r="L496" s="12">
        <v>617759</v>
      </c>
      <c r="M496" s="11">
        <v>2595161</v>
      </c>
    </row>
    <row r="497" spans="1:13">
      <c r="A497" s="15">
        <v>46235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7">
        <f>IFERROR(VLOOKUP(F497,Hoja2!$K$2:$M$1198,2,FALSE),0)</f>
        <v>76892000</v>
      </c>
      <c r="H497" s="17">
        <f>IFERROR(VLOOKUP(F497,Hoja2!$K$2:$M$1198,3,FALSE),0)</f>
        <v>20001000</v>
      </c>
      <c r="I497" s="3" t="s">
        <v>7</v>
      </c>
      <c r="J497" s="3" t="s">
        <v>217</v>
      </c>
      <c r="K497" s="3" t="s">
        <v>219</v>
      </c>
      <c r="L497" s="12">
        <v>806909</v>
      </c>
      <c r="M497" s="11">
        <v>4200698</v>
      </c>
    </row>
    <row r="498" spans="1:13">
      <c r="A498" s="15">
        <v>46235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7">
        <f>IFERROR(VLOOKUP(F498,Hoja2!$K$2:$M$1198,2,FALSE),0)</f>
        <v>11001000</v>
      </c>
      <c r="H498" s="17">
        <f>IFERROR(VLOOKUP(F498,Hoja2!$K$2:$M$1198,3,FALSE),0)</f>
        <v>70001000</v>
      </c>
      <c r="I498" s="3" t="s">
        <v>7</v>
      </c>
      <c r="J498" s="3" t="s">
        <v>217</v>
      </c>
      <c r="K498" s="3" t="s">
        <v>219</v>
      </c>
      <c r="L498" s="12">
        <v>710088</v>
      </c>
      <c r="M498" s="11">
        <v>4373494</v>
      </c>
    </row>
    <row r="499" spans="1:13">
      <c r="A499" s="15">
        <v>46235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7">
        <f>IFERROR(VLOOKUP(F499,Hoja2!$K$2:$M$1198,2,FALSE),0)</f>
        <v>5001000</v>
      </c>
      <c r="H499" s="17">
        <f>IFERROR(VLOOKUP(F499,Hoja2!$K$2:$M$1198,3,FALSE),0)</f>
        <v>52356000</v>
      </c>
      <c r="I499" s="3" t="s">
        <v>7</v>
      </c>
      <c r="J499" s="3" t="s">
        <v>217</v>
      </c>
      <c r="K499" s="3" t="s">
        <v>219</v>
      </c>
      <c r="L499" s="12">
        <v>589092</v>
      </c>
      <c r="M499" s="11">
        <v>3930314</v>
      </c>
    </row>
    <row r="500" spans="1:13">
      <c r="A500" s="15">
        <v>46235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7">
        <f>IFERROR(VLOOKUP(F500,Hoja2!$K$2:$M$1198,2,FALSE),0)</f>
        <v>15238000</v>
      </c>
      <c r="H500" s="17">
        <f>IFERROR(VLOOKUP(F500,Hoja2!$K$2:$M$1198,3,FALSE),0)</f>
        <v>73001000</v>
      </c>
      <c r="I500" s="3" t="s">
        <v>7</v>
      </c>
      <c r="J500" s="3" t="s">
        <v>217</v>
      </c>
      <c r="K500" s="3" t="s">
        <v>219</v>
      </c>
      <c r="L500" s="12">
        <v>1016379</v>
      </c>
      <c r="M500" s="11">
        <v>1826763</v>
      </c>
    </row>
    <row r="501" spans="1:13">
      <c r="A501" s="15">
        <v>46235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7">
        <f>IFERROR(VLOOKUP(F501,Hoja2!$K$2:$M$1198,2,FALSE),0)</f>
        <v>11001000</v>
      </c>
      <c r="H501" s="17">
        <f>IFERROR(VLOOKUP(F501,Hoja2!$K$2:$M$1198,3,FALSE),0)</f>
        <v>54498000</v>
      </c>
      <c r="I501" s="3" t="s">
        <v>7</v>
      </c>
      <c r="J501" s="3" t="s">
        <v>217</v>
      </c>
      <c r="K501" s="3" t="s">
        <v>219</v>
      </c>
      <c r="L501" s="12">
        <v>1177301</v>
      </c>
      <c r="M501" s="11">
        <v>2726502</v>
      </c>
    </row>
    <row r="502" spans="1:13">
      <c r="A502" s="15">
        <v>46235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7">
        <f>IFERROR(VLOOKUP(F502,Hoja2!$K$2:$M$1198,2,FALSE),0)</f>
        <v>5088000</v>
      </c>
      <c r="H502" s="17">
        <f>IFERROR(VLOOKUP(F502,Hoja2!$K$2:$M$1198,3,FALSE),0)</f>
        <v>11001000</v>
      </c>
      <c r="I502" s="3" t="s">
        <v>7</v>
      </c>
      <c r="J502" s="3" t="s">
        <v>217</v>
      </c>
      <c r="K502" s="3" t="s">
        <v>219</v>
      </c>
      <c r="L502" s="12">
        <v>1040850</v>
      </c>
      <c r="M502" s="11">
        <v>2001314</v>
      </c>
    </row>
    <row r="503" spans="1:13">
      <c r="A503" s="15">
        <v>46235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7">
        <f>IFERROR(VLOOKUP(F503,Hoja2!$K$2:$M$1198,2,FALSE),0)</f>
        <v>5001000</v>
      </c>
      <c r="H503" s="17">
        <f>IFERROR(VLOOKUP(F503,Hoja2!$K$2:$M$1198,3,FALSE),0)</f>
        <v>15238000</v>
      </c>
      <c r="I503" s="3" t="s">
        <v>7</v>
      </c>
      <c r="J503" s="3" t="s">
        <v>217</v>
      </c>
      <c r="K503" s="3" t="s">
        <v>219</v>
      </c>
      <c r="L503" s="12">
        <v>493969</v>
      </c>
      <c r="M503" s="11">
        <v>2722333</v>
      </c>
    </row>
    <row r="504" spans="1:13">
      <c r="A504" s="15">
        <v>46235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7">
        <f>IFERROR(VLOOKUP(F504,Hoja2!$K$2:$M$1198,2,FALSE),0)</f>
        <v>5001000</v>
      </c>
      <c r="H504" s="17">
        <f>IFERROR(VLOOKUP(F504,Hoja2!$K$2:$M$1198,3,FALSE),0)</f>
        <v>68001000</v>
      </c>
      <c r="I504" s="3" t="s">
        <v>7</v>
      </c>
      <c r="J504" s="3" t="s">
        <v>217</v>
      </c>
      <c r="K504" s="3" t="s">
        <v>219</v>
      </c>
      <c r="L504" s="12">
        <v>981863</v>
      </c>
      <c r="M504" s="11">
        <v>2038717</v>
      </c>
    </row>
    <row r="505" spans="1:13">
      <c r="A505" s="15">
        <v>46235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7">
        <f>IFERROR(VLOOKUP(F505,Hoja2!$K$2:$M$1198,2,FALSE),0)</f>
        <v>5001000</v>
      </c>
      <c r="H505" s="17">
        <f>IFERROR(VLOOKUP(F505,Hoja2!$K$2:$M$1198,3,FALSE),0)</f>
        <v>63001000</v>
      </c>
      <c r="I505" s="3" t="s">
        <v>7</v>
      </c>
      <c r="J505" s="3" t="s">
        <v>217</v>
      </c>
      <c r="K505" s="3" t="s">
        <v>219</v>
      </c>
      <c r="L505" s="12">
        <v>802592</v>
      </c>
      <c r="M505" s="11">
        <v>1587380</v>
      </c>
    </row>
    <row r="506" spans="1:13">
      <c r="A506" s="15">
        <v>46235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7">
        <f>IFERROR(VLOOKUP(F506,Hoja2!$K$2:$M$1198,2,FALSE),0)</f>
        <v>15238000</v>
      </c>
      <c r="H506" s="17">
        <f>IFERROR(VLOOKUP(F506,Hoja2!$K$2:$M$1198,3,FALSE),0)</f>
        <v>52835000</v>
      </c>
      <c r="I506" s="3" t="s">
        <v>7</v>
      </c>
      <c r="J506" s="3" t="s">
        <v>217</v>
      </c>
      <c r="K506" s="3" t="s">
        <v>219</v>
      </c>
      <c r="L506" s="12">
        <v>607221</v>
      </c>
      <c r="M506" s="11">
        <v>5580735</v>
      </c>
    </row>
    <row r="507" spans="1:13">
      <c r="A507" s="15">
        <v>46235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7">
        <f>IFERROR(VLOOKUP(F507,Hoja2!$K$2:$M$1198,2,FALSE),0)</f>
        <v>15238000</v>
      </c>
      <c r="H507" s="17">
        <f>IFERROR(VLOOKUP(F507,Hoja2!$K$2:$M$1198,3,FALSE),0)</f>
        <v>76001000</v>
      </c>
      <c r="I507" s="3" t="s">
        <v>7</v>
      </c>
      <c r="J507" s="3" t="s">
        <v>217</v>
      </c>
      <c r="K507" s="3" t="s">
        <v>219</v>
      </c>
      <c r="L507" s="12">
        <v>470766</v>
      </c>
      <c r="M507" s="11">
        <v>2459430</v>
      </c>
    </row>
    <row r="508" spans="1:13">
      <c r="A508" s="15">
        <v>46235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7">
        <f>IFERROR(VLOOKUP(F508,Hoja2!$K$2:$M$1198,2,FALSE),0)</f>
        <v>15238000</v>
      </c>
      <c r="H508" s="17">
        <f>IFERROR(VLOOKUP(F508,Hoja2!$K$2:$M$1198,3,FALSE),0)</f>
        <v>52001000</v>
      </c>
      <c r="I508" s="3" t="s">
        <v>7</v>
      </c>
      <c r="J508" s="3" t="s">
        <v>217</v>
      </c>
      <c r="K508" s="3" t="s">
        <v>219</v>
      </c>
      <c r="L508" s="12">
        <v>607221</v>
      </c>
      <c r="M508" s="11">
        <v>4430107</v>
      </c>
    </row>
    <row r="509" spans="1:13">
      <c r="A509" s="15">
        <v>46235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7">
        <f>IFERROR(VLOOKUP(F509,Hoja2!$K$2:$M$1198,2,FALSE),0)</f>
        <v>66001000</v>
      </c>
      <c r="H509" s="17">
        <f>IFERROR(VLOOKUP(F509,Hoja2!$K$2:$M$1198,3,FALSE),0)</f>
        <v>47001000</v>
      </c>
      <c r="I509" s="3" t="s">
        <v>7</v>
      </c>
      <c r="J509" s="3" t="s">
        <v>217</v>
      </c>
      <c r="K509" s="3" t="s">
        <v>219</v>
      </c>
      <c r="L509" s="12">
        <v>619420</v>
      </c>
      <c r="M509" s="11">
        <v>4564760</v>
      </c>
    </row>
    <row r="510" spans="1:13">
      <c r="A510" s="15">
        <v>46235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7">
        <f>IFERROR(VLOOKUP(F510,Hoja2!$K$2:$M$1198,2,FALSE),0)</f>
        <v>5088000</v>
      </c>
      <c r="H510" s="17">
        <f>IFERROR(VLOOKUP(F510,Hoja2!$K$2:$M$1198,3,FALSE),0)</f>
        <v>11001000</v>
      </c>
      <c r="I510" s="3" t="s">
        <v>7</v>
      </c>
      <c r="J510" s="3" t="s">
        <v>217</v>
      </c>
      <c r="K510" s="3" t="s">
        <v>219</v>
      </c>
      <c r="L510" s="12">
        <v>1041250</v>
      </c>
      <c r="M510" s="11">
        <v>1961417</v>
      </c>
    </row>
    <row r="511" spans="1:13">
      <c r="A511" s="15">
        <v>46235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7">
        <f>IFERROR(VLOOKUP(F511,Hoja2!$K$2:$M$1198,2,FALSE),0)</f>
        <v>5088000</v>
      </c>
      <c r="H511" s="17">
        <f>IFERROR(VLOOKUP(F511,Hoja2!$K$2:$M$1198,3,FALSE),0)</f>
        <v>11001000</v>
      </c>
      <c r="I511" s="3" t="s">
        <v>7</v>
      </c>
      <c r="J511" s="3" t="s">
        <v>217</v>
      </c>
      <c r="K511" s="3" t="s">
        <v>219</v>
      </c>
      <c r="L511" s="12">
        <v>1041250</v>
      </c>
      <c r="M511" s="11">
        <v>1113575</v>
      </c>
    </row>
    <row r="512" spans="1:13">
      <c r="A512" s="15">
        <v>46235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7">
        <f>IFERROR(VLOOKUP(F512,Hoja2!$K$2:$M$1198,2,FALSE),0)</f>
        <v>5001000</v>
      </c>
      <c r="H512" s="17">
        <f>IFERROR(VLOOKUP(F512,Hoja2!$K$2:$M$1198,3,FALSE),0)</f>
        <v>20001000</v>
      </c>
      <c r="I512" s="3" t="s">
        <v>7</v>
      </c>
      <c r="J512" s="3" t="s">
        <v>217</v>
      </c>
      <c r="K512" s="3" t="s">
        <v>219</v>
      </c>
      <c r="L512" s="12">
        <v>1147506</v>
      </c>
      <c r="M512" s="11">
        <v>3208581</v>
      </c>
    </row>
    <row r="513" spans="1:13">
      <c r="A513" s="15">
        <v>46235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7">
        <f>IFERROR(VLOOKUP(F513,Hoja2!$K$2:$M$1198,2,FALSE),0)</f>
        <v>5088000</v>
      </c>
      <c r="H513" s="17">
        <f>IFERROR(VLOOKUP(F513,Hoja2!$K$2:$M$1198,3,FALSE),0)</f>
        <v>47001000</v>
      </c>
      <c r="I513" s="3" t="s">
        <v>7</v>
      </c>
      <c r="J513" s="3" t="s">
        <v>217</v>
      </c>
      <c r="K513" s="3" t="s">
        <v>219</v>
      </c>
      <c r="L513" s="12">
        <v>672775</v>
      </c>
      <c r="M513" s="11">
        <v>4229543</v>
      </c>
    </row>
    <row r="514" spans="1:13">
      <c r="A514" s="15">
        <v>46235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7">
        <f>IFERROR(VLOOKUP(F514,Hoja2!$K$2:$M$1198,2,FALSE),0)</f>
        <v>19142000</v>
      </c>
      <c r="H514" s="17">
        <f>IFERROR(VLOOKUP(F514,Hoja2!$K$2:$M$1198,3,FALSE),0)</f>
        <v>11001000</v>
      </c>
      <c r="I514" s="3" t="s">
        <v>7</v>
      </c>
      <c r="J514" s="3" t="s">
        <v>217</v>
      </c>
      <c r="K514" s="3" t="s">
        <v>219</v>
      </c>
      <c r="L514" s="12">
        <v>493969</v>
      </c>
      <c r="M514" s="11">
        <v>2943558</v>
      </c>
    </row>
    <row r="515" spans="1:13">
      <c r="A515" s="15">
        <v>46235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7">
        <f>IFERROR(VLOOKUP(F515,Hoja2!$K$2:$M$1198,2,FALSE),0)</f>
        <v>19142000</v>
      </c>
      <c r="H515" s="17">
        <f>IFERROR(VLOOKUP(F515,Hoja2!$K$2:$M$1198,3,FALSE),0)</f>
        <v>11001000</v>
      </c>
      <c r="I515" s="3" t="s">
        <v>7</v>
      </c>
      <c r="J515" s="3" t="s">
        <v>217</v>
      </c>
      <c r="K515" s="3" t="s">
        <v>219</v>
      </c>
      <c r="L515" s="12">
        <v>493969</v>
      </c>
      <c r="M515" s="11">
        <v>2568549</v>
      </c>
    </row>
    <row r="516" spans="1:13">
      <c r="A516" s="15">
        <v>46235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7">
        <f>IFERROR(VLOOKUP(F516,Hoja2!$K$2:$M$1198,2,FALSE),0)</f>
        <v>5001000</v>
      </c>
      <c r="H516" s="17">
        <f>IFERROR(VLOOKUP(F516,Hoja2!$K$2:$M$1198,3,FALSE),0)</f>
        <v>5154000</v>
      </c>
      <c r="I516" s="3" t="s">
        <v>7</v>
      </c>
      <c r="J516" s="3" t="s">
        <v>217</v>
      </c>
      <c r="K516" s="3" t="s">
        <v>219</v>
      </c>
      <c r="L516" s="12">
        <v>781711</v>
      </c>
      <c r="M516" s="11">
        <v>1584886</v>
      </c>
    </row>
    <row r="517" spans="1:13">
      <c r="A517" s="15">
        <v>46235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7">
        <f>IFERROR(VLOOKUP(F517,Hoja2!$K$2:$M$1198,2,FALSE),0)</f>
        <v>5001000</v>
      </c>
      <c r="H517" s="17">
        <f>IFERROR(VLOOKUP(F517,Hoja2!$K$2:$M$1198,3,FALSE),0)</f>
        <v>70001000</v>
      </c>
      <c r="I517" s="3" t="s">
        <v>7</v>
      </c>
      <c r="J517" s="3" t="s">
        <v>217</v>
      </c>
      <c r="K517" s="3" t="s">
        <v>219</v>
      </c>
      <c r="L517" s="12">
        <v>781711</v>
      </c>
      <c r="M517" s="11">
        <v>2026250</v>
      </c>
    </row>
    <row r="518" spans="1:13">
      <c r="A518" s="15">
        <v>46235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7">
        <f>IFERROR(VLOOKUP(F518,Hoja2!$K$2:$M$1198,2,FALSE),0)</f>
        <v>5001000</v>
      </c>
      <c r="H518" s="17">
        <f>IFERROR(VLOOKUP(F518,Hoja2!$K$2:$M$1198,3,FALSE),0)</f>
        <v>52835000</v>
      </c>
      <c r="I518" s="3" t="s">
        <v>7</v>
      </c>
      <c r="J518" s="3" t="s">
        <v>217</v>
      </c>
      <c r="K518" s="3" t="s">
        <v>219</v>
      </c>
      <c r="L518" s="12">
        <v>643105</v>
      </c>
      <c r="M518" s="11">
        <v>4509901</v>
      </c>
    </row>
    <row r="519" spans="1:13">
      <c r="A519" s="15">
        <v>46235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7">
        <f>IFERROR(VLOOKUP(F519,Hoja2!$K$2:$M$1198,2,FALSE),0)</f>
        <v>11001000</v>
      </c>
      <c r="H519" s="17">
        <f>IFERROR(VLOOKUP(F519,Hoja2!$K$2:$M$1198,3,FALSE),0)</f>
        <v>20001000</v>
      </c>
      <c r="I519" s="3" t="s">
        <v>7</v>
      </c>
      <c r="J519" s="3" t="s">
        <v>217</v>
      </c>
      <c r="K519" s="3" t="s">
        <v>219</v>
      </c>
      <c r="L519" s="12">
        <v>865859</v>
      </c>
      <c r="M519" s="11">
        <v>2984159</v>
      </c>
    </row>
    <row r="520" spans="1:13">
      <c r="A520" s="15">
        <v>46235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7">
        <f>IFERROR(VLOOKUP(F520,Hoja2!$K$2:$M$1198,2,FALSE),0)</f>
        <v>5001000</v>
      </c>
      <c r="H520" s="17">
        <f>IFERROR(VLOOKUP(F520,Hoja2!$K$2:$M$1198,3,FALSE),0)</f>
        <v>70001000</v>
      </c>
      <c r="I520" s="3" t="s">
        <v>7</v>
      </c>
      <c r="J520" s="3" t="s">
        <v>217</v>
      </c>
      <c r="K520" s="3" t="s">
        <v>219</v>
      </c>
      <c r="L520" s="12">
        <v>709864</v>
      </c>
      <c r="M520" s="11">
        <v>2496833</v>
      </c>
    </row>
    <row r="521" spans="1:13">
      <c r="A521" s="15">
        <v>46235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7">
        <f>IFERROR(VLOOKUP(F521,Hoja2!$K$2:$M$1198,2,FALSE),0)</f>
        <v>5001000</v>
      </c>
      <c r="H521" s="17">
        <f>IFERROR(VLOOKUP(F521,Hoja2!$K$2:$M$1198,3,FALSE),0)</f>
        <v>73001000</v>
      </c>
      <c r="I521" s="3" t="s">
        <v>7</v>
      </c>
      <c r="J521" s="3" t="s">
        <v>217</v>
      </c>
      <c r="K521" s="3" t="s">
        <v>219</v>
      </c>
      <c r="L521" s="12">
        <v>520030</v>
      </c>
      <c r="M521" s="11">
        <v>1919026</v>
      </c>
    </row>
    <row r="522" spans="1:13">
      <c r="A522" s="15">
        <v>46235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7">
        <f>IFERROR(VLOOKUP(F522,Hoja2!$K$2:$M$1198,2,FALSE),0)</f>
        <v>8433000</v>
      </c>
      <c r="H522" s="17">
        <f>IFERROR(VLOOKUP(F522,Hoja2!$K$2:$M$1198,3,FALSE),0)</f>
        <v>5001000</v>
      </c>
      <c r="I522" s="3" t="s">
        <v>7</v>
      </c>
      <c r="J522" s="3" t="s">
        <v>217</v>
      </c>
      <c r="K522" s="3" t="s">
        <v>219</v>
      </c>
      <c r="L522" s="12">
        <v>552364</v>
      </c>
      <c r="M522" s="11">
        <v>3087811</v>
      </c>
    </row>
    <row r="523" spans="1:13">
      <c r="A523" s="15">
        <v>46235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7">
        <f>IFERROR(VLOOKUP(F523,Hoja2!$K$2:$M$1198,2,FALSE),0)</f>
        <v>5001000</v>
      </c>
      <c r="H523" s="17">
        <f>IFERROR(VLOOKUP(F523,Hoja2!$K$2:$M$1198,3,FALSE),0)</f>
        <v>20001000</v>
      </c>
      <c r="I523" s="3" t="s">
        <v>7</v>
      </c>
      <c r="J523" s="3" t="s">
        <v>217</v>
      </c>
      <c r="K523" s="3" t="s">
        <v>219</v>
      </c>
      <c r="L523" s="12">
        <v>1177321</v>
      </c>
      <c r="M523" s="11">
        <v>2103550</v>
      </c>
    </row>
    <row r="524" spans="1:13">
      <c r="A524" s="15">
        <v>46235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7">
        <f>IFERROR(VLOOKUP(F524,Hoja2!$K$2:$M$1198,2,FALSE),0)</f>
        <v>5088000</v>
      </c>
      <c r="H524" s="17">
        <f>IFERROR(VLOOKUP(F524,Hoja2!$K$2:$M$1198,3,FALSE),0)</f>
        <v>47001000</v>
      </c>
      <c r="I524" s="3" t="s">
        <v>7</v>
      </c>
      <c r="J524" s="3" t="s">
        <v>217</v>
      </c>
      <c r="K524" s="3" t="s">
        <v>219</v>
      </c>
      <c r="L524" s="12">
        <v>709864</v>
      </c>
      <c r="M524" s="11">
        <v>3066446</v>
      </c>
    </row>
    <row r="525" spans="1:13">
      <c r="A525" s="15">
        <v>46235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7">
        <f>IFERROR(VLOOKUP(F525,Hoja2!$K$2:$M$1198,2,FALSE),0)</f>
        <v>5001000</v>
      </c>
      <c r="H525" s="17">
        <f>IFERROR(VLOOKUP(F525,Hoja2!$K$2:$M$1198,3,FALSE),0)</f>
        <v>68081000</v>
      </c>
      <c r="I525" s="3" t="s">
        <v>7</v>
      </c>
      <c r="J525" s="3" t="s">
        <v>217</v>
      </c>
      <c r="K525" s="3" t="s">
        <v>219</v>
      </c>
      <c r="L525" s="12">
        <v>682789</v>
      </c>
      <c r="M525" s="11">
        <v>1652552</v>
      </c>
    </row>
    <row r="526" spans="1:13">
      <c r="A526" s="15">
        <v>46235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7">
        <f>IFERROR(VLOOKUP(F526,Hoja2!$K$2:$M$1198,2,FALSE),0)</f>
        <v>5088000</v>
      </c>
      <c r="H526" s="17">
        <f>IFERROR(VLOOKUP(F526,Hoja2!$K$2:$M$1198,3,FALSE),0)</f>
        <v>73001000</v>
      </c>
      <c r="I526" s="3" t="s">
        <v>7</v>
      </c>
      <c r="J526" s="3" t="s">
        <v>217</v>
      </c>
      <c r="K526" s="3" t="s">
        <v>219</v>
      </c>
      <c r="L526" s="12">
        <v>1041250</v>
      </c>
      <c r="M526" s="11">
        <v>2003807</v>
      </c>
    </row>
    <row r="527" spans="1:13">
      <c r="A527" s="15">
        <v>46235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7">
        <f>IFERROR(VLOOKUP(F527,Hoja2!$K$2:$M$1198,2,FALSE),0)</f>
        <v>5001000</v>
      </c>
      <c r="H527" s="17">
        <f>IFERROR(VLOOKUP(F527,Hoja2!$K$2:$M$1198,3,FALSE),0)</f>
        <v>20011000</v>
      </c>
      <c r="I527" s="3" t="s">
        <v>7</v>
      </c>
      <c r="J527" s="3" t="s">
        <v>217</v>
      </c>
      <c r="K527" s="3" t="s">
        <v>219</v>
      </c>
      <c r="L527" s="12">
        <v>1177321</v>
      </c>
      <c r="M527" s="11">
        <v>1986352</v>
      </c>
    </row>
    <row r="528" spans="1:13">
      <c r="A528" s="15">
        <v>46235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7">
        <f>IFERROR(VLOOKUP(F528,Hoja2!$K$2:$M$1198,2,FALSE),0)</f>
        <v>66001000</v>
      </c>
      <c r="H528" s="17">
        <f>IFERROR(VLOOKUP(F528,Hoja2!$K$2:$M$1198,3,FALSE),0)</f>
        <v>11001000</v>
      </c>
      <c r="I528" s="3" t="s">
        <v>7</v>
      </c>
      <c r="J528" s="3" t="s">
        <v>217</v>
      </c>
      <c r="K528" s="3" t="s">
        <v>219</v>
      </c>
      <c r="L528" s="12">
        <v>1141830</v>
      </c>
      <c r="M528" s="11">
        <v>1213503</v>
      </c>
    </row>
    <row r="529" spans="1:13">
      <c r="A529" s="15">
        <v>46235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7">
        <f>IFERROR(VLOOKUP(F529,Hoja2!$K$2:$M$1198,2,FALSE),0)</f>
        <v>5001000</v>
      </c>
      <c r="H529" s="17">
        <f>IFERROR(VLOOKUP(F529,Hoja2!$K$2:$M$1198,3,FALSE),0)</f>
        <v>50001000</v>
      </c>
      <c r="I529" s="3" t="s">
        <v>7</v>
      </c>
      <c r="J529" s="3" t="s">
        <v>217</v>
      </c>
      <c r="K529" s="3" t="s">
        <v>219</v>
      </c>
      <c r="L529" s="12">
        <v>546091</v>
      </c>
      <c r="M529" s="11">
        <v>2802128</v>
      </c>
    </row>
    <row r="530" spans="1:13">
      <c r="A530" s="15">
        <v>46235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7">
        <f>IFERROR(VLOOKUP(F530,Hoja2!$K$2:$M$1198,2,FALSE),0)</f>
        <v>5001000</v>
      </c>
      <c r="H530" s="17">
        <f>IFERROR(VLOOKUP(F530,Hoja2!$K$2:$M$1198,3,FALSE),0)</f>
        <v>11001000</v>
      </c>
      <c r="I530" s="3" t="s">
        <v>7</v>
      </c>
      <c r="J530" s="3" t="s">
        <v>217</v>
      </c>
      <c r="K530" s="3" t="s">
        <v>219</v>
      </c>
      <c r="L530" s="12">
        <v>1040850</v>
      </c>
      <c r="M530" s="11">
        <v>2011288</v>
      </c>
    </row>
    <row r="531" spans="1:13">
      <c r="A531" s="15">
        <v>46235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7">
        <f>IFERROR(VLOOKUP(F531,Hoja2!$K$2:$M$1198,2,FALSE),0)</f>
        <v>8433000</v>
      </c>
      <c r="H531" s="17">
        <f>IFERROR(VLOOKUP(F531,Hoja2!$K$2:$M$1198,3,FALSE),0)</f>
        <v>15238000</v>
      </c>
      <c r="I531" s="3" t="s">
        <v>7</v>
      </c>
      <c r="J531" s="3" t="s">
        <v>217</v>
      </c>
      <c r="K531" s="3" t="s">
        <v>219</v>
      </c>
      <c r="L531" s="12">
        <v>546091</v>
      </c>
      <c r="M531" s="11">
        <v>3913003</v>
      </c>
    </row>
    <row r="532" spans="1:13">
      <c r="A532" s="15">
        <v>46235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7">
        <f>IFERROR(VLOOKUP(F532,Hoja2!$K$2:$M$1198,2,FALSE),0)</f>
        <v>8433000</v>
      </c>
      <c r="H532" s="17">
        <f>IFERROR(VLOOKUP(F532,Hoja2!$K$2:$M$1198,3,FALSE),0)</f>
        <v>76001000</v>
      </c>
      <c r="I532" s="3" t="s">
        <v>7</v>
      </c>
      <c r="J532" s="3" t="s">
        <v>217</v>
      </c>
      <c r="K532" s="3" t="s">
        <v>219</v>
      </c>
      <c r="L532" s="12">
        <v>572418</v>
      </c>
      <c r="M532" s="11">
        <v>5206699</v>
      </c>
    </row>
    <row r="533" spans="1:13">
      <c r="A533" s="15">
        <v>46235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7">
        <f>IFERROR(VLOOKUP(F533,Hoja2!$K$2:$M$1198,2,FALSE),0)</f>
        <v>5088000</v>
      </c>
      <c r="H533" s="17">
        <f>IFERROR(VLOOKUP(F533,Hoja2!$K$2:$M$1198,3,FALSE),0)</f>
        <v>17001000</v>
      </c>
      <c r="I533" s="3" t="s">
        <v>7</v>
      </c>
      <c r="J533" s="3" t="s">
        <v>217</v>
      </c>
      <c r="K533" s="3" t="s">
        <v>219</v>
      </c>
      <c r="L533" s="12">
        <v>717281</v>
      </c>
      <c r="M533" s="11">
        <v>1073863</v>
      </c>
    </row>
    <row r="534" spans="1:13">
      <c r="A534" s="15">
        <v>46235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7">
        <f>IFERROR(VLOOKUP(F534,Hoja2!$K$2:$M$1198,2,FALSE),0)</f>
        <v>5088000</v>
      </c>
      <c r="H534" s="17">
        <f>IFERROR(VLOOKUP(F534,Hoja2!$K$2:$M$1198,3,FALSE),0)</f>
        <v>11001000</v>
      </c>
      <c r="I534" s="3" t="s">
        <v>7</v>
      </c>
      <c r="J534" s="3" t="s">
        <v>217</v>
      </c>
      <c r="K534" s="3" t="s">
        <v>219</v>
      </c>
      <c r="L534" s="12">
        <v>1041250</v>
      </c>
      <c r="M534" s="11">
        <v>1699591</v>
      </c>
    </row>
    <row r="535" spans="1:13">
      <c r="A535" s="15">
        <v>46235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7">
        <f>IFERROR(VLOOKUP(F535,Hoja2!$K$2:$M$1198,2,FALSE),0)</f>
        <v>5001000</v>
      </c>
      <c r="H535" s="17">
        <f>IFERROR(VLOOKUP(F535,Hoja2!$K$2:$M$1198,3,FALSE),0)</f>
        <v>11001000</v>
      </c>
      <c r="I535" s="3" t="s">
        <v>7</v>
      </c>
      <c r="J535" s="3" t="s">
        <v>217</v>
      </c>
      <c r="K535" s="3" t="s">
        <v>219</v>
      </c>
      <c r="L535" s="12">
        <v>1040850</v>
      </c>
      <c r="M535" s="11">
        <v>2051185</v>
      </c>
    </row>
    <row r="536" spans="1:13">
      <c r="A536" s="15">
        <v>46235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7">
        <f>IFERROR(VLOOKUP(F536,Hoja2!$K$2:$M$1198,2,FALSE),0)</f>
        <v>19142000</v>
      </c>
      <c r="H536" s="17">
        <f>IFERROR(VLOOKUP(F536,Hoja2!$K$2:$M$1198,3,FALSE),0)</f>
        <v>47001000</v>
      </c>
      <c r="I536" s="3" t="s">
        <v>7</v>
      </c>
      <c r="J536" s="3" t="s">
        <v>217</v>
      </c>
      <c r="K536" s="3" t="s">
        <v>219</v>
      </c>
      <c r="L536" s="12">
        <v>694945</v>
      </c>
      <c r="M536" s="11">
        <v>5313923</v>
      </c>
    </row>
    <row r="537" spans="1:13">
      <c r="A537" s="15">
        <v>46235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7">
        <f>IFERROR(VLOOKUP(F537,Hoja2!$K$2:$M$1198,2,FALSE),0)</f>
        <v>76001000</v>
      </c>
      <c r="H537" s="17">
        <f>IFERROR(VLOOKUP(F537,Hoja2!$K$2:$M$1198,3,FALSE),0)</f>
        <v>15238000</v>
      </c>
      <c r="I537" s="3" t="s">
        <v>7</v>
      </c>
      <c r="J537" s="3" t="s">
        <v>217</v>
      </c>
      <c r="K537" s="3" t="s">
        <v>219</v>
      </c>
      <c r="L537" s="12">
        <v>546091</v>
      </c>
      <c r="M537" s="11">
        <v>2849506</v>
      </c>
    </row>
    <row r="538" spans="1:13">
      <c r="A538" s="15">
        <v>46235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7">
        <f>IFERROR(VLOOKUP(F538,Hoja2!$K$2:$M$1198,2,FALSE),0)</f>
        <v>19142000</v>
      </c>
      <c r="H538" s="17">
        <f>IFERROR(VLOOKUP(F538,Hoja2!$K$2:$M$1198,3,FALSE),0)</f>
        <v>11001000</v>
      </c>
      <c r="I538" s="3" t="s">
        <v>7</v>
      </c>
      <c r="J538" s="3" t="s">
        <v>217</v>
      </c>
      <c r="K538" s="3" t="s">
        <v>219</v>
      </c>
      <c r="L538" s="12">
        <v>1040850</v>
      </c>
      <c r="M538" s="11">
        <v>2098563</v>
      </c>
    </row>
    <row r="539" spans="1:13">
      <c r="A539" s="15">
        <v>46235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7">
        <f>IFERROR(VLOOKUP(F539,Hoja2!$K$2:$M$1198,2,FALSE),0)</f>
        <v>19142000</v>
      </c>
      <c r="H539" s="17">
        <f>IFERROR(VLOOKUP(F539,Hoja2!$K$2:$M$1198,3,FALSE),0)</f>
        <v>20001000</v>
      </c>
      <c r="I539" s="3" t="s">
        <v>7</v>
      </c>
      <c r="J539" s="3" t="s">
        <v>217</v>
      </c>
      <c r="K539" s="3" t="s">
        <v>219</v>
      </c>
      <c r="L539" s="12">
        <v>806909</v>
      </c>
      <c r="M539" s="11">
        <v>4325376</v>
      </c>
    </row>
    <row r="540" spans="1:13">
      <c r="A540" s="15">
        <v>46235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7">
        <f>IFERROR(VLOOKUP(F540,Hoja2!$K$2:$M$1198,2,FALSE),0)</f>
        <v>19142000</v>
      </c>
      <c r="H540" s="17">
        <f>IFERROR(VLOOKUP(F540,Hoja2!$K$2:$M$1198,3,FALSE),0)</f>
        <v>20001000</v>
      </c>
      <c r="I540" s="3" t="s">
        <v>7</v>
      </c>
      <c r="J540" s="3" t="s">
        <v>217</v>
      </c>
      <c r="K540" s="3" t="s">
        <v>219</v>
      </c>
      <c r="L540" s="12">
        <v>1130470</v>
      </c>
      <c r="M540" s="11">
        <v>5416159</v>
      </c>
    </row>
    <row r="541" spans="1:13">
      <c r="A541" s="15">
        <v>46235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7">
        <f>IFERROR(VLOOKUP(F541,Hoja2!$K$2:$M$1198,2,FALSE),0)</f>
        <v>19142000</v>
      </c>
      <c r="H541" s="17">
        <f>IFERROR(VLOOKUP(F541,Hoja2!$K$2:$M$1198,3,FALSE),0)</f>
        <v>11001000</v>
      </c>
      <c r="I541" s="3" t="s">
        <v>7</v>
      </c>
      <c r="J541" s="3" t="s">
        <v>217</v>
      </c>
      <c r="K541" s="3" t="s">
        <v>219</v>
      </c>
      <c r="L541" s="12">
        <v>1040850</v>
      </c>
      <c r="M541" s="11">
        <v>1874141</v>
      </c>
    </row>
    <row r="542" spans="1:13">
      <c r="A542" s="15">
        <v>46235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7">
        <f>IFERROR(VLOOKUP(F542,Hoja2!$K$2:$M$1198,2,FALSE),0)</f>
        <v>19142000</v>
      </c>
      <c r="H542" s="17">
        <f>IFERROR(VLOOKUP(F542,Hoja2!$K$2:$M$1198,3,FALSE),0)</f>
        <v>11001000</v>
      </c>
      <c r="I542" s="3" t="s">
        <v>7</v>
      </c>
      <c r="J542" s="3" t="s">
        <v>217</v>
      </c>
      <c r="K542" s="3" t="s">
        <v>219</v>
      </c>
      <c r="L542" s="12">
        <v>450861</v>
      </c>
      <c r="M542" s="11">
        <v>2646448</v>
      </c>
    </row>
    <row r="543" spans="1:13">
      <c r="A543" s="15">
        <v>46235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7">
        <f>IFERROR(VLOOKUP(F543,Hoja2!$K$2:$M$1198,2,FALSE),0)</f>
        <v>19142000</v>
      </c>
      <c r="H543" s="17">
        <f>IFERROR(VLOOKUP(F543,Hoja2!$K$2:$M$1198,3,FALSE),0)</f>
        <v>11001000</v>
      </c>
      <c r="I543" s="3" t="s">
        <v>7</v>
      </c>
      <c r="J543" s="3" t="s">
        <v>217</v>
      </c>
      <c r="K543" s="3" t="s">
        <v>219</v>
      </c>
      <c r="L543" s="12">
        <v>1041250</v>
      </c>
      <c r="M543" s="11">
        <v>1956429</v>
      </c>
    </row>
    <row r="544" spans="1:13">
      <c r="A544" s="15">
        <v>46235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7">
        <f>IFERROR(VLOOKUP(F544,Hoja2!$K$2:$M$1198,2,FALSE),0)</f>
        <v>76001000</v>
      </c>
      <c r="H544" s="17">
        <f>IFERROR(VLOOKUP(F544,Hoja2!$K$2:$M$1198,3,FALSE),0)</f>
        <v>70001000</v>
      </c>
      <c r="I544" s="3" t="s">
        <v>7</v>
      </c>
      <c r="J544" s="3" t="s">
        <v>217</v>
      </c>
      <c r="K544" s="3" t="s">
        <v>219</v>
      </c>
      <c r="L544" s="12">
        <v>694945</v>
      </c>
      <c r="M544" s="11">
        <v>4445068</v>
      </c>
    </row>
    <row r="545" spans="1:13">
      <c r="A545" s="15">
        <v>46235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7">
        <f>IFERROR(VLOOKUP(F545,Hoja2!$K$2:$M$1198,2,FALSE),0)</f>
        <v>19142000</v>
      </c>
      <c r="H545" s="17">
        <f>IFERROR(VLOOKUP(F545,Hoja2!$K$2:$M$1198,3,FALSE),0)</f>
        <v>20001000</v>
      </c>
      <c r="I545" s="3" t="s">
        <v>7</v>
      </c>
      <c r="J545" s="3" t="s">
        <v>217</v>
      </c>
      <c r="K545" s="3" t="s">
        <v>219</v>
      </c>
      <c r="L545" s="12">
        <v>1177321</v>
      </c>
      <c r="M545" s="11">
        <v>4180009</v>
      </c>
    </row>
    <row r="546" spans="1:13">
      <c r="A546" s="15">
        <v>46235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7">
        <f>IFERROR(VLOOKUP(F546,Hoja2!$K$2:$M$1198,2,FALSE),0)</f>
        <v>19142000</v>
      </c>
      <c r="H546" s="17">
        <f>IFERROR(VLOOKUP(F546,Hoja2!$K$2:$M$1198,3,FALSE),0)</f>
        <v>54001000</v>
      </c>
      <c r="I546" s="3" t="s">
        <v>7</v>
      </c>
      <c r="J546" s="3" t="s">
        <v>217</v>
      </c>
      <c r="K546" s="3" t="s">
        <v>219</v>
      </c>
      <c r="L546" s="12">
        <v>1054340</v>
      </c>
      <c r="M546" s="11">
        <v>4165788</v>
      </c>
    </row>
    <row r="547" spans="1:13">
      <c r="A547" s="15">
        <v>46235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7">
        <f>IFERROR(VLOOKUP(F547,Hoja2!$K$2:$M$1198,2,FALSE),0)</f>
        <v>19142000</v>
      </c>
      <c r="H547" s="17">
        <f>IFERROR(VLOOKUP(F547,Hoja2!$K$2:$M$1198,3,FALSE),0)</f>
        <v>5001000</v>
      </c>
      <c r="I547" s="3" t="s">
        <v>7</v>
      </c>
      <c r="J547" s="3" t="s">
        <v>217</v>
      </c>
      <c r="K547" s="3" t="s">
        <v>219</v>
      </c>
      <c r="L547" s="12">
        <v>806909</v>
      </c>
      <c r="M547" s="11">
        <v>2703800</v>
      </c>
    </row>
    <row r="548" spans="1:13">
      <c r="A548" s="15">
        <v>46235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7">
        <f>IFERROR(VLOOKUP(F548,Hoja2!$K$2:$M$1198,2,FALSE),0)</f>
        <v>19142000</v>
      </c>
      <c r="H548" s="17">
        <f>IFERROR(VLOOKUP(F548,Hoja2!$K$2:$M$1198,3,FALSE),0)</f>
        <v>47001000</v>
      </c>
      <c r="I548" s="3" t="s">
        <v>7</v>
      </c>
      <c r="J548" s="3" t="s">
        <v>217</v>
      </c>
      <c r="K548" s="3" t="s">
        <v>219</v>
      </c>
      <c r="L548" s="12">
        <v>658036</v>
      </c>
      <c r="M548" s="11">
        <v>5717882</v>
      </c>
    </row>
    <row r="549" spans="1:13">
      <c r="A549" s="15">
        <v>46235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7">
        <f>IFERROR(VLOOKUP(F549,Hoja2!$K$2:$M$1198,2,FALSE),0)</f>
        <v>76001000</v>
      </c>
      <c r="H549" s="17">
        <f>IFERROR(VLOOKUP(F549,Hoja2!$K$2:$M$1198,3,FALSE),0)</f>
        <v>73001000</v>
      </c>
      <c r="I549" s="3" t="s">
        <v>7</v>
      </c>
      <c r="J549" s="3" t="s">
        <v>217</v>
      </c>
      <c r="K549" s="3" t="s">
        <v>219</v>
      </c>
      <c r="L549" s="12">
        <v>1041250</v>
      </c>
      <c r="M549" s="11">
        <v>1761930</v>
      </c>
    </row>
    <row r="550" spans="1:13">
      <c r="A550" s="15">
        <v>46235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7">
        <f>IFERROR(VLOOKUP(F550,Hoja2!$K$2:$M$1198,2,FALSE),0)</f>
        <v>19142000</v>
      </c>
      <c r="H550" s="17">
        <f>IFERROR(VLOOKUP(F550,Hoja2!$K$2:$M$1198,3,FALSE),0)</f>
        <v>5001000</v>
      </c>
      <c r="I550" s="3" t="s">
        <v>7</v>
      </c>
      <c r="J550" s="3" t="s">
        <v>217</v>
      </c>
      <c r="K550" s="3" t="s">
        <v>219</v>
      </c>
      <c r="L550" s="12">
        <v>543329</v>
      </c>
      <c r="M550" s="11">
        <v>2056173</v>
      </c>
    </row>
    <row r="551" spans="1:13">
      <c r="A551" s="15">
        <v>46235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7">
        <f>IFERROR(VLOOKUP(F551,Hoja2!$K$2:$M$1198,2,FALSE),0)</f>
        <v>19142000</v>
      </c>
      <c r="H551" s="17">
        <f>IFERROR(VLOOKUP(F551,Hoja2!$K$2:$M$1198,3,FALSE),0)</f>
        <v>23001000</v>
      </c>
      <c r="I551" s="3" t="s">
        <v>7</v>
      </c>
      <c r="J551" s="3" t="s">
        <v>217</v>
      </c>
      <c r="K551" s="3" t="s">
        <v>219</v>
      </c>
      <c r="L551" s="12">
        <v>781711</v>
      </c>
      <c r="M551" s="11">
        <v>4223140</v>
      </c>
    </row>
    <row r="552" spans="1:13">
      <c r="A552" s="15">
        <v>46235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7">
        <f>IFERROR(VLOOKUP(F552,Hoja2!$K$2:$M$1198,2,FALSE),0)</f>
        <v>19142000</v>
      </c>
      <c r="H552" s="17">
        <f>IFERROR(VLOOKUP(F552,Hoja2!$K$2:$M$1198,3,FALSE),0)</f>
        <v>11001000</v>
      </c>
      <c r="I552" s="3" t="s">
        <v>7</v>
      </c>
      <c r="J552" s="3" t="s">
        <v>217</v>
      </c>
      <c r="K552" s="3" t="s">
        <v>219</v>
      </c>
      <c r="L552" s="12">
        <v>1041250</v>
      </c>
      <c r="M552" s="11">
        <v>2417039</v>
      </c>
    </row>
    <row r="553" spans="1:13">
      <c r="A553" s="15">
        <v>46235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7">
        <f>IFERROR(VLOOKUP(F553,Hoja2!$K$2:$M$1198,2,FALSE),0)</f>
        <v>76001000</v>
      </c>
      <c r="H553" s="17">
        <f>IFERROR(VLOOKUP(F553,Hoja2!$K$2:$M$1198,3,FALSE),0)</f>
        <v>85001000</v>
      </c>
      <c r="I553" s="3" t="s">
        <v>7</v>
      </c>
      <c r="J553" s="3" t="s">
        <v>217</v>
      </c>
      <c r="K553" s="3" t="s">
        <v>219</v>
      </c>
      <c r="L553" s="12">
        <v>546091</v>
      </c>
      <c r="M553" s="11">
        <v>3820429</v>
      </c>
    </row>
    <row r="554" spans="1:13">
      <c r="A554" s="15">
        <v>46235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7">
        <f>IFERROR(VLOOKUP(F554,Hoja2!$K$2:$M$1198,2,FALSE),0)</f>
        <v>20011000</v>
      </c>
      <c r="H554" s="17">
        <f>IFERROR(VLOOKUP(F554,Hoja2!$K$2:$M$1198,3,FALSE),0)</f>
        <v>68001000</v>
      </c>
      <c r="I554" s="3" t="s">
        <v>7</v>
      </c>
      <c r="J554" s="3" t="s">
        <v>217</v>
      </c>
      <c r="K554" s="3" t="s">
        <v>219</v>
      </c>
      <c r="L554" s="12">
        <v>1177321</v>
      </c>
      <c r="M554" s="11">
        <v>1078883</v>
      </c>
    </row>
    <row r="555" spans="1:13">
      <c r="A555" s="15">
        <v>46235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7">
        <f>IFERROR(VLOOKUP(F555,Hoja2!$K$2:$M$1198,2,FALSE),0)</f>
        <v>63001000</v>
      </c>
      <c r="H555" s="17">
        <f>IFERROR(VLOOKUP(F555,Hoja2!$K$2:$M$1198,3,FALSE),0)</f>
        <v>76001000</v>
      </c>
      <c r="I555" s="3" t="s">
        <v>7</v>
      </c>
      <c r="J555" s="3" t="s">
        <v>217</v>
      </c>
      <c r="K555" s="3" t="s">
        <v>219</v>
      </c>
      <c r="L555" s="12">
        <v>747567</v>
      </c>
      <c r="M555" s="11">
        <v>1026300</v>
      </c>
    </row>
    <row r="556" spans="1:13">
      <c r="A556" s="15">
        <v>46235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7">
        <f>IFERROR(VLOOKUP(F556,Hoja2!$K$2:$M$1198,2,FALSE),0)</f>
        <v>63001000</v>
      </c>
      <c r="H556" s="17">
        <f>IFERROR(VLOOKUP(F556,Hoja2!$K$2:$M$1198,3,FALSE),0)</f>
        <v>76892000</v>
      </c>
      <c r="I556" s="3" t="s">
        <v>7</v>
      </c>
      <c r="J556" s="3" t="s">
        <v>217</v>
      </c>
      <c r="K556" s="3" t="s">
        <v>219</v>
      </c>
      <c r="L556" s="12">
        <v>747567</v>
      </c>
      <c r="M556" s="11">
        <v>941933</v>
      </c>
    </row>
    <row r="557" spans="1:13">
      <c r="A557" s="15">
        <v>46235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7">
        <f>IFERROR(VLOOKUP(F557,Hoja2!$K$2:$M$1198,2,FALSE),0)</f>
        <v>15238000</v>
      </c>
      <c r="H557" s="17">
        <f>IFERROR(VLOOKUP(F557,Hoja2!$K$2:$M$1198,3,FALSE),0)</f>
        <v>15001000</v>
      </c>
      <c r="I557" s="3" t="s">
        <v>7</v>
      </c>
      <c r="J557" s="3" t="s">
        <v>217</v>
      </c>
      <c r="K557" s="3" t="s">
        <v>219</v>
      </c>
      <c r="L557" s="12">
        <v>544901</v>
      </c>
      <c r="M557" s="11">
        <v>567130</v>
      </c>
    </row>
    <row r="558" spans="1:13">
      <c r="A558" s="15">
        <v>46235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7">
        <f>IFERROR(VLOOKUP(F558,Hoja2!$K$2:$M$1198,2,FALSE),0)</f>
        <v>76109000</v>
      </c>
      <c r="H558" s="17">
        <f>IFERROR(VLOOKUP(F558,Hoja2!$K$2:$M$1198,3,FALSE),0)</f>
        <v>19142000</v>
      </c>
      <c r="I558" s="3" t="s">
        <v>7</v>
      </c>
      <c r="J558" s="3" t="s">
        <v>217</v>
      </c>
      <c r="K558" s="3" t="s">
        <v>219</v>
      </c>
      <c r="L558" s="12">
        <v>788290</v>
      </c>
      <c r="M558" s="11">
        <v>1008400</v>
      </c>
    </row>
    <row r="559" spans="1:13">
      <c r="A559" s="15">
        <v>46235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7">
        <f>IFERROR(VLOOKUP(F559,Hoja2!$K$2:$M$1198,2,FALSE),0)</f>
        <v>0</v>
      </c>
      <c r="H559" s="17">
        <f>IFERROR(VLOOKUP(F559,Hoja2!$K$2:$M$1198,3,FALSE),0)</f>
        <v>0</v>
      </c>
      <c r="I559" s="3" t="s">
        <v>7</v>
      </c>
      <c r="J559" s="3" t="s">
        <v>217</v>
      </c>
      <c r="K559" s="3" t="s">
        <v>219</v>
      </c>
      <c r="L559" s="12">
        <v>788290</v>
      </c>
      <c r="M559" s="11">
        <v>2195228</v>
      </c>
    </row>
    <row r="560" spans="1:13">
      <c r="A560" s="15">
        <v>46235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7">
        <f>IFERROR(VLOOKUP(F560,Hoja2!$K$2:$M$1198,2,FALSE),0)</f>
        <v>76109000</v>
      </c>
      <c r="H560" s="17">
        <f>IFERROR(VLOOKUP(F560,Hoja2!$K$2:$M$1198,3,FALSE),0)</f>
        <v>11001000</v>
      </c>
      <c r="I560" s="3" t="s">
        <v>7</v>
      </c>
      <c r="J560" s="3" t="s">
        <v>217</v>
      </c>
      <c r="K560" s="3" t="s">
        <v>219</v>
      </c>
      <c r="L560" s="12">
        <v>847241</v>
      </c>
      <c r="M560" s="11">
        <v>2379635</v>
      </c>
    </row>
    <row r="561" spans="1:13">
      <c r="A561" s="15">
        <v>46235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7">
        <f>IFERROR(VLOOKUP(F561,Hoja2!$K$2:$M$1198,2,FALSE),0)</f>
        <v>76109000</v>
      </c>
      <c r="H561" s="17">
        <f>IFERROR(VLOOKUP(F561,Hoja2!$K$2:$M$1198,3,FALSE),0)</f>
        <v>11001000</v>
      </c>
      <c r="I561" s="3" t="s">
        <v>7</v>
      </c>
      <c r="J561" s="3" t="s">
        <v>217</v>
      </c>
      <c r="K561" s="3" t="s">
        <v>219</v>
      </c>
      <c r="L561" s="12">
        <v>847241</v>
      </c>
      <c r="M561" s="11">
        <v>2482950</v>
      </c>
    </row>
    <row r="562" spans="1:13">
      <c r="A562" s="15">
        <v>46235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7">
        <f>IFERROR(VLOOKUP(F562,Hoja2!$K$2:$M$1198,2,FALSE),0)</f>
        <v>76109000</v>
      </c>
      <c r="H562" s="17">
        <f>IFERROR(VLOOKUP(F562,Hoja2!$K$2:$M$1198,3,FALSE),0)</f>
        <v>5088000</v>
      </c>
      <c r="I562" s="3" t="s">
        <v>7</v>
      </c>
      <c r="J562" s="3" t="s">
        <v>217</v>
      </c>
      <c r="K562" s="3" t="s">
        <v>219</v>
      </c>
      <c r="L562" s="12">
        <v>843315</v>
      </c>
      <c r="M562" s="11">
        <v>2031236</v>
      </c>
    </row>
    <row r="563" spans="1:13">
      <c r="A563" s="15">
        <v>46235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7">
        <f>IFERROR(VLOOKUP(F563,Hoja2!$K$2:$M$1198,2,FALSE),0)</f>
        <v>76111000</v>
      </c>
      <c r="H563" s="17">
        <f>IFERROR(VLOOKUP(F563,Hoja2!$K$2:$M$1198,3,FALSE),0)</f>
        <v>19142000</v>
      </c>
      <c r="I563" s="3" t="s">
        <v>7</v>
      </c>
      <c r="J563" s="3" t="s">
        <v>217</v>
      </c>
      <c r="K563" s="3" t="s">
        <v>219</v>
      </c>
      <c r="L563" s="12">
        <v>694139</v>
      </c>
      <c r="M563" s="11">
        <v>738375</v>
      </c>
    </row>
    <row r="564" spans="1:13">
      <c r="A564" s="15">
        <v>46235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7">
        <f>IFERROR(VLOOKUP(F564,Hoja2!$K$2:$M$1198,2,FALSE),0)</f>
        <v>76111000</v>
      </c>
      <c r="H564" s="17">
        <f>IFERROR(VLOOKUP(F564,Hoja2!$K$2:$M$1198,3,FALSE),0)</f>
        <v>19001000</v>
      </c>
      <c r="I564" s="3" t="s">
        <v>7</v>
      </c>
      <c r="J564" s="3" t="s">
        <v>217</v>
      </c>
      <c r="K564" s="3" t="s">
        <v>219</v>
      </c>
      <c r="L564" s="12">
        <v>793058</v>
      </c>
      <c r="M564" s="11">
        <v>1184658</v>
      </c>
    </row>
    <row r="565" spans="1:13">
      <c r="A565" s="15">
        <v>46235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7">
        <f>IFERROR(VLOOKUP(F565,Hoja2!$K$2:$M$1198,2,FALSE),0)</f>
        <v>76111000</v>
      </c>
      <c r="H565" s="17">
        <f>IFERROR(VLOOKUP(F565,Hoja2!$K$2:$M$1198,3,FALSE),0)</f>
        <v>11001000</v>
      </c>
      <c r="I565" s="3" t="s">
        <v>7</v>
      </c>
      <c r="J565" s="3" t="s">
        <v>217</v>
      </c>
      <c r="K565" s="3" t="s">
        <v>219</v>
      </c>
      <c r="L565" s="12">
        <v>670339</v>
      </c>
      <c r="M565" s="11">
        <v>1849206</v>
      </c>
    </row>
    <row r="566" spans="1:13">
      <c r="A566" s="15">
        <v>46235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7">
        <f>IFERROR(VLOOKUP(F566,Hoja2!$K$2:$M$1198,2,FALSE),0)</f>
        <v>76111000</v>
      </c>
      <c r="H566" s="17">
        <f>IFERROR(VLOOKUP(F566,Hoja2!$K$2:$M$1198,3,FALSE),0)</f>
        <v>5088000</v>
      </c>
      <c r="I566" s="3" t="s">
        <v>7</v>
      </c>
      <c r="J566" s="3" t="s">
        <v>217</v>
      </c>
      <c r="K566" s="3" t="s">
        <v>219</v>
      </c>
      <c r="L566" s="12">
        <v>694139</v>
      </c>
      <c r="M566" s="11">
        <v>1819283</v>
      </c>
    </row>
    <row r="567" spans="1:13">
      <c r="A567" s="15">
        <v>46235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7">
        <f>IFERROR(VLOOKUP(F567,Hoja2!$K$2:$M$1198,2,FALSE),0)</f>
        <v>25799000</v>
      </c>
      <c r="H567" s="17">
        <f>IFERROR(VLOOKUP(F567,Hoja2!$K$2:$M$1198,3,FALSE),0)</f>
        <v>47001000</v>
      </c>
      <c r="I567" s="3" t="s">
        <v>7</v>
      </c>
      <c r="J567" s="3" t="s">
        <v>217</v>
      </c>
      <c r="K567" s="3" t="s">
        <v>219</v>
      </c>
      <c r="L567" s="12">
        <v>763647</v>
      </c>
      <c r="M567" s="11">
        <v>3178658</v>
      </c>
    </row>
    <row r="568" spans="1:13">
      <c r="A568" s="15">
        <v>46235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7">
        <f>IFERROR(VLOOKUP(F568,Hoja2!$K$2:$M$1198,2,FALSE),0)</f>
        <v>0</v>
      </c>
      <c r="H568" s="17">
        <f>IFERROR(VLOOKUP(F568,Hoja2!$K$2:$M$1198,3,FALSE),0)</f>
        <v>0</v>
      </c>
      <c r="I568" s="3" t="s">
        <v>7</v>
      </c>
      <c r="J568" s="3" t="s">
        <v>217</v>
      </c>
      <c r="K568" s="3" t="s">
        <v>219</v>
      </c>
      <c r="L568" s="12">
        <v>527170</v>
      </c>
      <c r="M568" s="11">
        <v>648877</v>
      </c>
    </row>
    <row r="569" spans="1:13">
      <c r="A569" s="15">
        <v>46235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7">
        <f>IFERROR(VLOOKUP(F569,Hoja2!$K$2:$M$1198,2,FALSE),0)</f>
        <v>25799000</v>
      </c>
      <c r="H569" s="17">
        <f>IFERROR(VLOOKUP(F569,Hoja2!$K$2:$M$1198,3,FALSE),0)</f>
        <v>52001000</v>
      </c>
      <c r="I569" s="3" t="s">
        <v>7</v>
      </c>
      <c r="J569" s="3" t="s">
        <v>217</v>
      </c>
      <c r="K569" s="3" t="s">
        <v>219</v>
      </c>
      <c r="L569" s="12">
        <v>632092</v>
      </c>
      <c r="M569" s="11">
        <v>3933885</v>
      </c>
    </row>
    <row r="570" spans="1:13">
      <c r="A570" s="15">
        <v>46235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7">
        <f>IFERROR(VLOOKUP(F570,Hoja2!$K$2:$M$1198,2,FALSE),0)</f>
        <v>25151000</v>
      </c>
      <c r="H570" s="17">
        <f>IFERROR(VLOOKUP(F570,Hoja2!$K$2:$M$1198,3,FALSE),0)</f>
        <v>11001000</v>
      </c>
      <c r="I570" s="3" t="s">
        <v>7</v>
      </c>
      <c r="J570" s="3" t="s">
        <v>217</v>
      </c>
      <c r="K570" s="3" t="s">
        <v>219</v>
      </c>
      <c r="L570" s="12">
        <v>1040850</v>
      </c>
      <c r="M570" s="11">
        <v>668826</v>
      </c>
    </row>
    <row r="571" spans="1:13">
      <c r="A571" s="15">
        <v>46235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7">
        <f>IFERROR(VLOOKUP(F571,Hoja2!$K$2:$M$1198,2,FALSE),0)</f>
        <v>13001000</v>
      </c>
      <c r="H571" s="17">
        <f>IFERROR(VLOOKUP(F571,Hoja2!$K$2:$M$1198,3,FALSE),0)</f>
        <v>19142000</v>
      </c>
      <c r="I571" s="3" t="s">
        <v>7</v>
      </c>
      <c r="J571" s="3" t="s">
        <v>217</v>
      </c>
      <c r="K571" s="3" t="s">
        <v>219</v>
      </c>
      <c r="L571" s="12">
        <v>574770</v>
      </c>
      <c r="M571" s="11">
        <v>5023590</v>
      </c>
    </row>
    <row r="572" spans="1:13">
      <c r="A572" s="15">
        <v>46235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7">
        <f>IFERROR(VLOOKUP(F572,Hoja2!$K$2:$M$1198,2,FALSE),0)</f>
        <v>13001000</v>
      </c>
      <c r="H572" s="17">
        <f>IFERROR(VLOOKUP(F572,Hoja2!$K$2:$M$1198,3,FALSE),0)</f>
        <v>5172000</v>
      </c>
      <c r="I572" s="3" t="s">
        <v>7</v>
      </c>
      <c r="J572" s="3" t="s">
        <v>217</v>
      </c>
      <c r="K572" s="3" t="s">
        <v>219</v>
      </c>
      <c r="L572" s="12">
        <v>697261</v>
      </c>
      <c r="M572" s="11">
        <v>2185838</v>
      </c>
    </row>
    <row r="573" spans="1:13">
      <c r="A573" s="15">
        <v>46235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7">
        <f>IFERROR(VLOOKUP(F573,Hoja2!$K$2:$M$1198,2,FALSE),0)</f>
        <v>13001000</v>
      </c>
      <c r="H573" s="17">
        <f>IFERROR(VLOOKUP(F573,Hoja2!$K$2:$M$1198,3,FALSE),0)</f>
        <v>13430000</v>
      </c>
      <c r="I573" s="3" t="s">
        <v>7</v>
      </c>
      <c r="J573" s="3" t="s">
        <v>217</v>
      </c>
      <c r="K573" s="3" t="s">
        <v>219</v>
      </c>
      <c r="L573" s="12">
        <v>764020</v>
      </c>
      <c r="M573" s="11">
        <v>1176099</v>
      </c>
    </row>
    <row r="574" spans="1:13">
      <c r="A574" s="15">
        <v>46235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7">
        <f>IFERROR(VLOOKUP(F574,Hoja2!$K$2:$M$1198,2,FALSE),0)</f>
        <v>0</v>
      </c>
      <c r="H574" s="17">
        <f>IFERROR(VLOOKUP(F574,Hoja2!$K$2:$M$1198,3,FALSE),0)</f>
        <v>0</v>
      </c>
      <c r="I574" s="3" t="s">
        <v>7</v>
      </c>
      <c r="J574" s="3" t="s">
        <v>217</v>
      </c>
      <c r="K574" s="3" t="s">
        <v>219</v>
      </c>
      <c r="L574" s="12">
        <v>583100</v>
      </c>
      <c r="M574" s="11">
        <v>4378297</v>
      </c>
    </row>
    <row r="575" spans="1:13">
      <c r="A575" s="15">
        <v>46235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7">
        <f>IFERROR(VLOOKUP(F575,Hoja2!$K$2:$M$1198,2,FALSE),0)</f>
        <v>13001000</v>
      </c>
      <c r="H575" s="17">
        <f>IFERROR(VLOOKUP(F575,Hoja2!$K$2:$M$1198,3,FALSE),0)</f>
        <v>11001000</v>
      </c>
      <c r="I575" s="3" t="s">
        <v>7</v>
      </c>
      <c r="J575" s="3" t="s">
        <v>217</v>
      </c>
      <c r="K575" s="3" t="s">
        <v>219</v>
      </c>
      <c r="L575" s="12">
        <v>598823</v>
      </c>
      <c r="M575" s="11">
        <v>4461446</v>
      </c>
    </row>
    <row r="576" spans="1:13">
      <c r="A576" s="15">
        <v>46235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7">
        <f>IFERROR(VLOOKUP(F576,Hoja2!$K$2:$M$1198,2,FALSE),0)</f>
        <v>13001000</v>
      </c>
      <c r="H576" s="17">
        <f>IFERROR(VLOOKUP(F576,Hoja2!$K$2:$M$1198,3,FALSE),0)</f>
        <v>41001000</v>
      </c>
      <c r="I576" s="3" t="s">
        <v>7</v>
      </c>
      <c r="J576" s="3" t="s">
        <v>217</v>
      </c>
      <c r="K576" s="3" t="s">
        <v>219</v>
      </c>
      <c r="L576" s="12">
        <v>672350</v>
      </c>
      <c r="M576" s="11">
        <v>4657023</v>
      </c>
    </row>
    <row r="577" spans="1:13">
      <c r="A577" s="15">
        <v>46235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7">
        <f>IFERROR(VLOOKUP(F577,Hoja2!$K$2:$M$1198,2,FALSE),0)</f>
        <v>13001000</v>
      </c>
      <c r="H577" s="17">
        <f>IFERROR(VLOOKUP(F577,Hoja2!$K$2:$M$1198,3,FALSE),0)</f>
        <v>68547000</v>
      </c>
      <c r="I577" s="3" t="s">
        <v>7</v>
      </c>
      <c r="J577" s="3" t="s">
        <v>217</v>
      </c>
      <c r="K577" s="3" t="s">
        <v>219</v>
      </c>
      <c r="L577" s="12">
        <v>574770</v>
      </c>
      <c r="M577" s="11">
        <v>2968367</v>
      </c>
    </row>
    <row r="578" spans="1:13">
      <c r="A578" s="15">
        <v>46235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7">
        <f>IFERROR(VLOOKUP(F578,Hoja2!$K$2:$M$1198,2,FALSE),0)</f>
        <v>13001000</v>
      </c>
      <c r="H578" s="17">
        <f>IFERROR(VLOOKUP(F578,Hoja2!$K$2:$M$1198,3,FALSE),0)</f>
        <v>50001000</v>
      </c>
      <c r="I578" s="3" t="s">
        <v>7</v>
      </c>
      <c r="J578" s="3" t="s">
        <v>217</v>
      </c>
      <c r="K578" s="3" t="s">
        <v>219</v>
      </c>
      <c r="L578" s="12">
        <v>672055</v>
      </c>
      <c r="M578" s="11">
        <v>4781701</v>
      </c>
    </row>
    <row r="579" spans="1:13">
      <c r="A579" s="15">
        <v>46235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7">
        <f>IFERROR(VLOOKUP(F579,Hoja2!$K$2:$M$1198,2,FALSE),0)</f>
        <v>0</v>
      </c>
      <c r="H579" s="17">
        <f>IFERROR(VLOOKUP(F579,Hoja2!$K$2:$M$1198,3,FALSE),0)</f>
        <v>0</v>
      </c>
      <c r="I579" s="3" t="s">
        <v>7</v>
      </c>
      <c r="J579" s="3" t="s">
        <v>217</v>
      </c>
      <c r="K579" s="3" t="s">
        <v>219</v>
      </c>
      <c r="L579" s="12">
        <v>553336</v>
      </c>
      <c r="M579" s="11">
        <v>4529850</v>
      </c>
    </row>
    <row r="580" spans="1:13">
      <c r="A580" s="15">
        <v>46235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7">
        <f>IFERROR(VLOOKUP(F580,Hoja2!$K$2:$M$1198,2,FALSE),0)</f>
        <v>0</v>
      </c>
      <c r="H580" s="17">
        <f>IFERROR(VLOOKUP(F580,Hoja2!$K$2:$M$1198,3,FALSE),0)</f>
        <v>0</v>
      </c>
      <c r="I580" s="3" t="s">
        <v>7</v>
      </c>
      <c r="J580" s="3" t="s">
        <v>217</v>
      </c>
      <c r="K580" s="3" t="s">
        <v>219</v>
      </c>
      <c r="L580" s="12">
        <v>660172</v>
      </c>
      <c r="M580" s="11">
        <v>4827676</v>
      </c>
    </row>
    <row r="581" spans="1:13">
      <c r="A581" s="15">
        <v>46235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7">
        <f>IFERROR(VLOOKUP(F581,Hoja2!$K$2:$M$1198,2,FALSE),0)</f>
        <v>5154000</v>
      </c>
      <c r="H581" s="17">
        <f>IFERROR(VLOOKUP(F581,Hoja2!$K$2:$M$1198,3,FALSE),0)</f>
        <v>23001000</v>
      </c>
      <c r="I581" s="3" t="s">
        <v>7</v>
      </c>
      <c r="J581" s="3" t="s">
        <v>217</v>
      </c>
      <c r="K581" s="3" t="s">
        <v>219</v>
      </c>
      <c r="L581" s="12">
        <v>797181</v>
      </c>
      <c r="M581" s="11">
        <v>835171</v>
      </c>
    </row>
    <row r="582" spans="1:13">
      <c r="A582" s="15">
        <v>46235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7">
        <f>IFERROR(VLOOKUP(F582,Hoja2!$K$2:$M$1198,2,FALSE),0)</f>
        <v>5154000</v>
      </c>
      <c r="H582" s="17">
        <f>IFERROR(VLOOKUP(F582,Hoja2!$K$2:$M$1198,3,FALSE),0)</f>
        <v>8433000</v>
      </c>
      <c r="I582" s="3" t="s">
        <v>7</v>
      </c>
      <c r="J582" s="3" t="s">
        <v>217</v>
      </c>
      <c r="K582" s="3" t="s">
        <v>219</v>
      </c>
      <c r="L582" s="12">
        <v>781711</v>
      </c>
      <c r="M582" s="11">
        <v>1875780</v>
      </c>
    </row>
    <row r="583" spans="1:13">
      <c r="A583" s="15">
        <v>46235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7">
        <f>IFERROR(VLOOKUP(F583,Hoja2!$K$2:$M$1198,2,FALSE),0)</f>
        <v>5172000</v>
      </c>
      <c r="H583" s="17">
        <f>IFERROR(VLOOKUP(F583,Hoja2!$K$2:$M$1198,3,FALSE),0)</f>
        <v>5001000</v>
      </c>
      <c r="I583" s="3" t="s">
        <v>7</v>
      </c>
      <c r="J583" s="3" t="s">
        <v>217</v>
      </c>
      <c r="K583" s="3" t="s">
        <v>219</v>
      </c>
      <c r="L583" s="12">
        <v>643105</v>
      </c>
      <c r="M583" s="11">
        <v>1601767</v>
      </c>
    </row>
    <row r="584" spans="1:13">
      <c r="A584" s="15">
        <v>46235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7">
        <f>IFERROR(VLOOKUP(F584,Hoja2!$K$2:$M$1198,2,FALSE),0)</f>
        <v>5172000</v>
      </c>
      <c r="H584" s="17">
        <f>IFERROR(VLOOKUP(F584,Hoja2!$K$2:$M$1198,3,FALSE),0)</f>
        <v>8433000</v>
      </c>
      <c r="I584" s="3" t="s">
        <v>7</v>
      </c>
      <c r="J584" s="3" t="s">
        <v>217</v>
      </c>
      <c r="K584" s="3" t="s">
        <v>219</v>
      </c>
      <c r="L584" s="12">
        <v>609820</v>
      </c>
      <c r="M584" s="11">
        <v>2581513</v>
      </c>
    </row>
    <row r="585" spans="1:13">
      <c r="A585" s="15">
        <v>46235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7">
        <f>IFERROR(VLOOKUP(F585,Hoja2!$K$2:$M$1198,2,FALSE),0)</f>
        <v>15176000</v>
      </c>
      <c r="H585" s="17">
        <f>IFERROR(VLOOKUP(F585,Hoja2!$K$2:$M$1198,3,FALSE),0)</f>
        <v>15238000</v>
      </c>
      <c r="I585" s="3" t="s">
        <v>7</v>
      </c>
      <c r="J585" s="3" t="s">
        <v>217</v>
      </c>
      <c r="K585" s="3" t="s">
        <v>219</v>
      </c>
      <c r="L585" s="12">
        <v>573342</v>
      </c>
      <c r="M585" s="11">
        <v>644783</v>
      </c>
    </row>
    <row r="586" spans="1:13">
      <c r="A586" s="15">
        <v>46235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7">
        <f>IFERROR(VLOOKUP(F586,Hoja2!$K$2:$M$1198,2,FALSE),0)</f>
        <v>15176000</v>
      </c>
      <c r="H586" s="17">
        <f>IFERROR(VLOOKUP(F586,Hoja2!$K$2:$M$1198,3,FALSE),0)</f>
        <v>11001000</v>
      </c>
      <c r="I586" s="3" t="s">
        <v>7</v>
      </c>
      <c r="J586" s="3" t="s">
        <v>217</v>
      </c>
      <c r="K586" s="3" t="s">
        <v>219</v>
      </c>
      <c r="L586" s="12">
        <v>521220</v>
      </c>
      <c r="M586" s="11">
        <v>754500</v>
      </c>
    </row>
    <row r="587" spans="1:13">
      <c r="A587" s="15">
        <v>46235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7">
        <f>IFERROR(VLOOKUP(F587,Hoja2!$K$2:$M$1198,2,FALSE),0)</f>
        <v>0</v>
      </c>
      <c r="H587" s="17">
        <f>IFERROR(VLOOKUP(F587,Hoja2!$K$2:$M$1198,3,FALSE),0)</f>
        <v>0</v>
      </c>
      <c r="I587" s="3" t="s">
        <v>7</v>
      </c>
      <c r="J587" s="3" t="s">
        <v>217</v>
      </c>
      <c r="K587" s="3" t="s">
        <v>219</v>
      </c>
      <c r="L587" s="12">
        <v>445179</v>
      </c>
      <c r="M587" s="11">
        <v>616842</v>
      </c>
    </row>
    <row r="588" spans="1:13">
      <c r="A588" s="15">
        <v>46235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7">
        <f>IFERROR(VLOOKUP(F588,Hoja2!$K$2:$M$1198,2,FALSE),0)</f>
        <v>18001000</v>
      </c>
      <c r="H588" s="17">
        <f>IFERROR(VLOOKUP(F588,Hoja2!$K$2:$M$1198,3,FALSE),0)</f>
        <v>76001000</v>
      </c>
      <c r="I588" s="3" t="s">
        <v>7</v>
      </c>
      <c r="J588" s="3" t="s">
        <v>217</v>
      </c>
      <c r="K588" s="3" t="s">
        <v>219</v>
      </c>
      <c r="L588" s="12">
        <v>651138</v>
      </c>
      <c r="M588" s="11">
        <v>3074937</v>
      </c>
    </row>
    <row r="589" spans="1:13">
      <c r="A589" s="15">
        <v>46235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7">
        <f>IFERROR(VLOOKUP(F589,Hoja2!$K$2:$M$1198,2,FALSE),0)</f>
        <v>18001000</v>
      </c>
      <c r="H589" s="17">
        <f>IFERROR(VLOOKUP(F589,Hoja2!$K$2:$M$1198,3,FALSE),0)</f>
        <v>11001000</v>
      </c>
      <c r="I589" s="3" t="s">
        <v>7</v>
      </c>
      <c r="J589" s="3" t="s">
        <v>217</v>
      </c>
      <c r="K589" s="3" t="s">
        <v>219</v>
      </c>
      <c r="L589" s="12">
        <v>710088</v>
      </c>
      <c r="M589" s="11">
        <v>2365341</v>
      </c>
    </row>
    <row r="590" spans="1:13">
      <c r="A590" s="15">
        <v>46235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7">
        <f>IFERROR(VLOOKUP(F590,Hoja2!$K$2:$M$1198,2,FALSE),0)</f>
        <v>18001000</v>
      </c>
      <c r="H590" s="17">
        <f>IFERROR(VLOOKUP(F590,Hoja2!$K$2:$M$1198,3,FALSE),0)</f>
        <v>41001000</v>
      </c>
      <c r="I590" s="3" t="s">
        <v>7</v>
      </c>
      <c r="J590" s="3" t="s">
        <v>217</v>
      </c>
      <c r="K590" s="3" t="s">
        <v>219</v>
      </c>
      <c r="L590" s="12">
        <v>675008</v>
      </c>
      <c r="M590" s="11">
        <v>1103546</v>
      </c>
    </row>
    <row r="591" spans="1:13">
      <c r="A591" s="15">
        <v>46235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7">
        <f>IFERROR(VLOOKUP(F591,Hoja2!$K$2:$M$1198,2,FALSE),0)</f>
        <v>18001000</v>
      </c>
      <c r="H591" s="17">
        <f>IFERROR(VLOOKUP(F591,Hoja2!$K$2:$M$1198,3,FALSE),0)</f>
        <v>76892000</v>
      </c>
      <c r="I591" s="3" t="s">
        <v>7</v>
      </c>
      <c r="J591" s="3" t="s">
        <v>217</v>
      </c>
      <c r="K591" s="3" t="s">
        <v>219</v>
      </c>
      <c r="L591" s="12">
        <v>651138</v>
      </c>
      <c r="M591" s="11">
        <v>2990360</v>
      </c>
    </row>
    <row r="592" spans="1:13">
      <c r="A592" s="15">
        <v>46235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7">
        <f>IFERROR(VLOOKUP(F592,Hoja2!$K$2:$M$1198,2,FALSE),0)</f>
        <v>44279000</v>
      </c>
      <c r="H592" s="17">
        <f>IFERROR(VLOOKUP(F592,Hoja2!$K$2:$M$1198,3,FALSE),0)</f>
        <v>20001000</v>
      </c>
      <c r="I592" s="3" t="s">
        <v>7</v>
      </c>
      <c r="J592" s="3" t="s">
        <v>217</v>
      </c>
      <c r="K592" s="3" t="s">
        <v>219</v>
      </c>
      <c r="L592" s="12">
        <v>1158506</v>
      </c>
      <c r="M592" s="11">
        <v>767376</v>
      </c>
    </row>
    <row r="593" spans="1:13">
      <c r="A593" s="15">
        <v>46235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7">
        <f>IFERROR(VLOOKUP(F593,Hoja2!$K$2:$M$1198,2,FALSE),0)</f>
        <v>44279000</v>
      </c>
      <c r="H593" s="17">
        <f>IFERROR(VLOOKUP(F593,Hoja2!$K$2:$M$1198,3,FALSE),0)</f>
        <v>8433000</v>
      </c>
      <c r="I593" s="3" t="s">
        <v>7</v>
      </c>
      <c r="J593" s="3" t="s">
        <v>217</v>
      </c>
      <c r="K593" s="3" t="s">
        <v>219</v>
      </c>
      <c r="L593" s="12">
        <v>1130470</v>
      </c>
      <c r="M593" s="11">
        <v>1656124</v>
      </c>
    </row>
    <row r="594" spans="1:13">
      <c r="A594" s="15">
        <v>46235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7">
        <f>IFERROR(VLOOKUP(F594,Hoja2!$K$2:$M$1198,2,FALSE),0)</f>
        <v>41001000</v>
      </c>
      <c r="H594" s="17">
        <f>IFERROR(VLOOKUP(F594,Hoja2!$K$2:$M$1198,3,FALSE),0)</f>
        <v>19142000</v>
      </c>
      <c r="I594" s="3" t="s">
        <v>7</v>
      </c>
      <c r="J594" s="3" t="s">
        <v>217</v>
      </c>
      <c r="K594" s="3" t="s">
        <v>219</v>
      </c>
      <c r="L594" s="12">
        <v>1092420</v>
      </c>
      <c r="M594" s="11">
        <v>2694761</v>
      </c>
    </row>
    <row r="595" spans="1:13">
      <c r="A595" s="15">
        <v>46235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7">
        <f>IFERROR(VLOOKUP(F595,Hoja2!$K$2:$M$1198,2,FALSE),0)</f>
        <v>41001000</v>
      </c>
      <c r="H595" s="17">
        <f>IFERROR(VLOOKUP(F595,Hoja2!$K$2:$M$1198,3,FALSE),0)</f>
        <v>76892000</v>
      </c>
      <c r="I595" s="3" t="s">
        <v>7</v>
      </c>
      <c r="J595" s="3" t="s">
        <v>217</v>
      </c>
      <c r="K595" s="3" t="s">
        <v>219</v>
      </c>
      <c r="L595" s="12">
        <v>1092420</v>
      </c>
      <c r="M595" s="11">
        <v>2574227</v>
      </c>
    </row>
    <row r="596" spans="1:13">
      <c r="A596" s="15">
        <v>46235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7">
        <f>IFERROR(VLOOKUP(F596,Hoja2!$K$2:$M$1198,2,FALSE),0)</f>
        <v>73001000</v>
      </c>
      <c r="H596" s="17">
        <f>IFERROR(VLOOKUP(F596,Hoja2!$K$2:$M$1198,3,FALSE),0)</f>
        <v>76001000</v>
      </c>
      <c r="I596" s="3" t="s">
        <v>7</v>
      </c>
      <c r="J596" s="3" t="s">
        <v>217</v>
      </c>
      <c r="K596" s="3" t="s">
        <v>219</v>
      </c>
      <c r="L596" s="12">
        <v>518840</v>
      </c>
      <c r="M596" s="11">
        <v>1675989</v>
      </c>
    </row>
    <row r="597" spans="1:13">
      <c r="A597" s="15">
        <v>46235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7">
        <f>IFERROR(VLOOKUP(F597,Hoja2!$K$2:$M$1198,2,FALSE),0)</f>
        <v>73001000</v>
      </c>
      <c r="H597" s="17">
        <f>IFERROR(VLOOKUP(F597,Hoja2!$K$2:$M$1198,3,FALSE),0)</f>
        <v>76109000</v>
      </c>
      <c r="I597" s="3" t="s">
        <v>7</v>
      </c>
      <c r="J597" s="3" t="s">
        <v>217</v>
      </c>
      <c r="K597" s="3" t="s">
        <v>219</v>
      </c>
      <c r="L597" s="12">
        <v>782072</v>
      </c>
      <c r="M597" s="11">
        <v>1682136</v>
      </c>
    </row>
    <row r="598" spans="1:13">
      <c r="A598" s="15">
        <v>46235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7">
        <f>IFERROR(VLOOKUP(F598,Hoja2!$K$2:$M$1198,2,FALSE),0)</f>
        <v>73001000</v>
      </c>
      <c r="H598" s="17">
        <f>IFERROR(VLOOKUP(F598,Hoja2!$K$2:$M$1198,3,FALSE),0)</f>
        <v>76111000</v>
      </c>
      <c r="I598" s="3" t="s">
        <v>7</v>
      </c>
      <c r="J598" s="3" t="s">
        <v>217</v>
      </c>
      <c r="K598" s="3" t="s">
        <v>219</v>
      </c>
      <c r="L598" s="12">
        <v>694139</v>
      </c>
      <c r="M598" s="11">
        <v>1201866</v>
      </c>
    </row>
    <row r="599" spans="1:13">
      <c r="A599" s="15">
        <v>46235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7">
        <f>IFERROR(VLOOKUP(F599,Hoja2!$K$2:$M$1198,2,FALSE),0)</f>
        <v>73001000</v>
      </c>
      <c r="H599" s="17">
        <f>IFERROR(VLOOKUP(F599,Hoja2!$K$2:$M$1198,3,FALSE),0)</f>
        <v>73443000</v>
      </c>
      <c r="I599" s="3" t="s">
        <v>7</v>
      </c>
      <c r="J599" s="3" t="s">
        <v>217</v>
      </c>
      <c r="K599" s="3" t="s">
        <v>219</v>
      </c>
      <c r="L599" s="12">
        <v>1151920</v>
      </c>
      <c r="M599" s="11">
        <v>944197</v>
      </c>
    </row>
    <row r="600" spans="1:13">
      <c r="A600" s="15">
        <v>46235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7">
        <f>IFERROR(VLOOKUP(F600,Hoja2!$K$2:$M$1198,2,FALSE),0)</f>
        <v>73001000</v>
      </c>
      <c r="H600" s="17">
        <f>IFERROR(VLOOKUP(F600,Hoja2!$K$2:$M$1198,3,FALSE),0)</f>
        <v>66170000</v>
      </c>
      <c r="I600" s="3" t="s">
        <v>7</v>
      </c>
      <c r="J600" s="3" t="s">
        <v>217</v>
      </c>
      <c r="K600" s="3" t="s">
        <v>219</v>
      </c>
      <c r="L600" s="12">
        <v>619420</v>
      </c>
      <c r="M600" s="11">
        <v>898175</v>
      </c>
    </row>
    <row r="601" spans="1:13">
      <c r="A601" s="15">
        <v>46235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7">
        <f>IFERROR(VLOOKUP(F601,Hoja2!$K$2:$M$1198,2,FALSE),0)</f>
        <v>73001000</v>
      </c>
      <c r="H601" s="17">
        <f>IFERROR(VLOOKUP(F601,Hoja2!$K$2:$M$1198,3,FALSE),0)</f>
        <v>76892000</v>
      </c>
      <c r="I601" s="3" t="s">
        <v>7</v>
      </c>
      <c r="J601" s="3" t="s">
        <v>217</v>
      </c>
      <c r="K601" s="3" t="s">
        <v>219</v>
      </c>
      <c r="L601" s="12">
        <v>518840</v>
      </c>
      <c r="M601" s="11">
        <v>1558497</v>
      </c>
    </row>
    <row r="602" spans="1:13">
      <c r="A602" s="15">
        <v>46235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7">
        <f>IFERROR(VLOOKUP(F602,Hoja2!$K$2:$M$1198,2,FALSE),0)</f>
        <v>52356000</v>
      </c>
      <c r="H602" s="17">
        <f>IFERROR(VLOOKUP(F602,Hoja2!$K$2:$M$1198,3,FALSE),0)</f>
        <v>19142000</v>
      </c>
      <c r="I602" s="3" t="s">
        <v>7</v>
      </c>
      <c r="J602" s="3" t="s">
        <v>217</v>
      </c>
      <c r="K602" s="3" t="s">
        <v>219</v>
      </c>
      <c r="L602" s="12">
        <v>589092</v>
      </c>
      <c r="M602" s="11">
        <v>1985839</v>
      </c>
    </row>
    <row r="603" spans="1:13">
      <c r="A603" s="15">
        <v>46235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7">
        <f>IFERROR(VLOOKUP(F603,Hoja2!$K$2:$M$1198,2,FALSE),0)</f>
        <v>52356000</v>
      </c>
      <c r="H603" s="17">
        <f>IFERROR(VLOOKUP(F603,Hoja2!$K$2:$M$1198,3,FALSE),0)</f>
        <v>52001000</v>
      </c>
      <c r="I603" s="3" t="s">
        <v>7</v>
      </c>
      <c r="J603" s="3" t="s">
        <v>217</v>
      </c>
      <c r="K603" s="3" t="s">
        <v>219</v>
      </c>
      <c r="L603" s="12">
        <v>702344</v>
      </c>
      <c r="M603" s="11">
        <v>752468</v>
      </c>
    </row>
    <row r="604" spans="1:13">
      <c r="A604" s="15">
        <v>46235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7">
        <f>IFERROR(VLOOKUP(F604,Hoja2!$K$2:$M$1198,2,FALSE),0)</f>
        <v>5360000</v>
      </c>
      <c r="H604" s="17">
        <f>IFERROR(VLOOKUP(F604,Hoja2!$K$2:$M$1198,3,FALSE),0)</f>
        <v>11001000</v>
      </c>
      <c r="I604" s="3" t="s">
        <v>7</v>
      </c>
      <c r="J604" s="3" t="s">
        <v>217</v>
      </c>
      <c r="K604" s="3" t="s">
        <v>219</v>
      </c>
      <c r="L604" s="12">
        <v>1041250</v>
      </c>
      <c r="M604" s="11">
        <v>1515066</v>
      </c>
    </row>
    <row r="605" spans="1:13">
      <c r="A605" s="15">
        <v>46235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7">
        <f>IFERROR(VLOOKUP(F605,Hoja2!$K$2:$M$1198,2,FALSE),0)</f>
        <v>5360000</v>
      </c>
      <c r="H605" s="17">
        <f>IFERROR(VLOOKUP(F605,Hoja2!$K$2:$M$1198,3,FALSE),0)</f>
        <v>5001000</v>
      </c>
      <c r="I605" s="3" t="s">
        <v>7</v>
      </c>
      <c r="J605" s="3" t="s">
        <v>217</v>
      </c>
      <c r="K605" s="3" t="s">
        <v>219</v>
      </c>
      <c r="L605" s="12">
        <v>865635</v>
      </c>
      <c r="M605" s="11">
        <v>1078850</v>
      </c>
    </row>
    <row r="606" spans="1:13">
      <c r="A606" s="15">
        <v>46235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7">
        <f>IFERROR(VLOOKUP(F606,Hoja2!$K$2:$M$1198,2,FALSE),0)</f>
        <v>5360000</v>
      </c>
      <c r="H606" s="17">
        <f>IFERROR(VLOOKUP(F606,Hoja2!$K$2:$M$1198,3,FALSE),0)</f>
        <v>11001000</v>
      </c>
      <c r="I606" s="3" t="s">
        <v>7</v>
      </c>
      <c r="J606" s="3" t="s">
        <v>217</v>
      </c>
      <c r="K606" s="3" t="s">
        <v>219</v>
      </c>
      <c r="L606" s="12">
        <v>544667</v>
      </c>
      <c r="M606" s="11">
        <v>1982371</v>
      </c>
    </row>
    <row r="607" spans="1:13">
      <c r="A607" s="15">
        <v>46235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7">
        <f>IFERROR(VLOOKUP(F607,Hoja2!$K$2:$M$1198,2,FALSE),0)</f>
        <v>76364000</v>
      </c>
      <c r="H607" s="17">
        <f>IFERROR(VLOOKUP(F607,Hoja2!$K$2:$M$1198,3,FALSE),0)</f>
        <v>76001000</v>
      </c>
      <c r="I607" s="3" t="s">
        <v>7</v>
      </c>
      <c r="J607" s="3" t="s">
        <v>217</v>
      </c>
      <c r="K607" s="3" t="s">
        <v>219</v>
      </c>
      <c r="L607" s="12">
        <v>671337</v>
      </c>
      <c r="M607" s="11">
        <v>787029</v>
      </c>
    </row>
    <row r="608" spans="1:13">
      <c r="A608" s="15">
        <v>46235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7">
        <f>IFERROR(VLOOKUP(F608,Hoja2!$K$2:$M$1198,2,FALSE),0)</f>
        <v>11001000</v>
      </c>
      <c r="H608" s="17">
        <f>IFERROR(VLOOKUP(F608,Hoja2!$K$2:$M$1198,3,FALSE),0)</f>
        <v>76111000</v>
      </c>
      <c r="I608" s="3" t="s">
        <v>7</v>
      </c>
      <c r="J608" s="3" t="s">
        <v>217</v>
      </c>
      <c r="K608" s="3" t="s">
        <v>219</v>
      </c>
      <c r="L608" s="12">
        <v>1216549</v>
      </c>
      <c r="M608" s="11">
        <v>1799334</v>
      </c>
    </row>
    <row r="609" spans="1:13">
      <c r="A609" s="15">
        <v>46235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7">
        <f>IFERROR(VLOOKUP(F609,Hoja2!$K$2:$M$1198,2,FALSE),0)</f>
        <v>17380000</v>
      </c>
      <c r="H609" s="17">
        <f>IFERROR(VLOOKUP(F609,Hoja2!$K$2:$M$1198,3,FALSE),0)</f>
        <v>73443000</v>
      </c>
      <c r="I609" s="3" t="s">
        <v>7</v>
      </c>
      <c r="J609" s="3" t="s">
        <v>217</v>
      </c>
      <c r="K609" s="3" t="s">
        <v>219</v>
      </c>
      <c r="L609" s="12">
        <v>1674330</v>
      </c>
      <c r="M609" s="11">
        <v>649770</v>
      </c>
    </row>
    <row r="610" spans="1:13">
      <c r="A610" s="15">
        <v>46235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7">
        <f>IFERROR(VLOOKUP(F610,Hoja2!$K$2:$M$1198,2,FALSE),0)</f>
        <v>17380000</v>
      </c>
      <c r="H610" s="17">
        <f>IFERROR(VLOOKUP(F610,Hoja2!$K$2:$M$1198,3,FALSE),0)</f>
        <v>11001000</v>
      </c>
      <c r="I610" s="3" t="s">
        <v>7</v>
      </c>
      <c r="J610" s="3" t="s">
        <v>217</v>
      </c>
      <c r="K610" s="3" t="s">
        <v>219</v>
      </c>
      <c r="L610" s="12">
        <v>1016379</v>
      </c>
      <c r="M610" s="11">
        <v>1056223</v>
      </c>
    </row>
    <row r="611" spans="1:13">
      <c r="A611" s="15">
        <v>46235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7">
        <f>IFERROR(VLOOKUP(F611,Hoja2!$K$2:$M$1198,2,FALSE),0)</f>
        <v>25430000</v>
      </c>
      <c r="H611" s="17">
        <f>IFERROR(VLOOKUP(F611,Hoja2!$K$2:$M$1198,3,FALSE),0)</f>
        <v>11001000</v>
      </c>
      <c r="I611" s="3" t="s">
        <v>7</v>
      </c>
      <c r="J611" s="3" t="s">
        <v>217</v>
      </c>
      <c r="K611" s="3" t="s">
        <v>219</v>
      </c>
      <c r="L611" s="12">
        <v>1041250</v>
      </c>
      <c r="M611" s="11">
        <v>629377</v>
      </c>
    </row>
    <row r="612" spans="1:13">
      <c r="A612" s="15">
        <v>46235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7">
        <f>IFERROR(VLOOKUP(F612,Hoja2!$K$2:$M$1198,2,FALSE),0)</f>
        <v>0</v>
      </c>
      <c r="H612" s="17">
        <f>IFERROR(VLOOKUP(F612,Hoja2!$K$2:$M$1198,3,FALSE),0)</f>
        <v>0</v>
      </c>
      <c r="I612" s="3" t="s">
        <v>7</v>
      </c>
      <c r="J612" s="3" t="s">
        <v>217</v>
      </c>
      <c r="K612" s="3" t="s">
        <v>219</v>
      </c>
      <c r="L612" s="12">
        <v>465326</v>
      </c>
      <c r="M612" s="11">
        <v>186120</v>
      </c>
    </row>
    <row r="613" spans="1:13">
      <c r="A613" s="15">
        <v>46235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7">
        <f>IFERROR(VLOOKUP(F613,Hoja2!$K$2:$M$1198,2,FALSE),0)</f>
        <v>25430000</v>
      </c>
      <c r="H613" s="17">
        <f>IFERROR(VLOOKUP(F613,Hoja2!$K$2:$M$1198,3,FALSE),0)</f>
        <v>11001000</v>
      </c>
      <c r="I613" s="3" t="s">
        <v>7</v>
      </c>
      <c r="J613" s="3" t="s">
        <v>217</v>
      </c>
      <c r="K613" s="3" t="s">
        <v>219</v>
      </c>
      <c r="L613" s="12">
        <v>495040</v>
      </c>
      <c r="M613" s="11">
        <v>610612</v>
      </c>
    </row>
    <row r="614" spans="1:13">
      <c r="A614" s="15">
        <v>46235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7">
        <f>IFERROR(VLOOKUP(F614,Hoja2!$K$2:$M$1198,2,FALSE),0)</f>
        <v>25430000</v>
      </c>
      <c r="H614" s="17">
        <f>IFERROR(VLOOKUP(F614,Hoja2!$K$2:$M$1198,3,FALSE),0)</f>
        <v>11001000</v>
      </c>
      <c r="I614" s="3" t="s">
        <v>7</v>
      </c>
      <c r="J614" s="3" t="s">
        <v>217</v>
      </c>
      <c r="K614" s="3" t="s">
        <v>219</v>
      </c>
      <c r="L614" s="12">
        <v>518820</v>
      </c>
      <c r="M614" s="11">
        <v>614439</v>
      </c>
    </row>
    <row r="615" spans="1:13">
      <c r="A615" s="15">
        <v>46235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7">
        <f>IFERROR(VLOOKUP(F615,Hoja2!$K$2:$M$1198,2,FALSE),0)</f>
        <v>25430000</v>
      </c>
      <c r="H615" s="17">
        <f>IFERROR(VLOOKUP(F615,Hoja2!$K$2:$M$1198,3,FALSE),0)</f>
        <v>11001000</v>
      </c>
      <c r="I615" s="3" t="s">
        <v>7</v>
      </c>
      <c r="J615" s="3" t="s">
        <v>217</v>
      </c>
      <c r="K615" s="3" t="s">
        <v>219</v>
      </c>
      <c r="L615" s="12">
        <v>518820</v>
      </c>
      <c r="M615" s="11">
        <v>611870</v>
      </c>
    </row>
    <row r="616" spans="1:13">
      <c r="A616" s="15">
        <v>46235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7">
        <f>IFERROR(VLOOKUP(F616,Hoja2!$K$2:$M$1198,2,FALSE),0)</f>
        <v>17001000</v>
      </c>
      <c r="H616" s="17">
        <f>IFERROR(VLOOKUP(F616,Hoja2!$K$2:$M$1198,3,FALSE),0)</f>
        <v>19142000</v>
      </c>
      <c r="I616" s="3" t="s">
        <v>7</v>
      </c>
      <c r="J616" s="3" t="s">
        <v>217</v>
      </c>
      <c r="K616" s="3" t="s">
        <v>219</v>
      </c>
      <c r="L616" s="12">
        <v>747567</v>
      </c>
      <c r="M616" s="11">
        <v>1551187</v>
      </c>
    </row>
    <row r="617" spans="1:13">
      <c r="A617" s="15">
        <v>46235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7">
        <f>IFERROR(VLOOKUP(F617,Hoja2!$K$2:$M$1198,2,FALSE),0)</f>
        <v>17001000</v>
      </c>
      <c r="H617" s="17">
        <f>IFERROR(VLOOKUP(F617,Hoja2!$K$2:$M$1198,3,FALSE),0)</f>
        <v>76109000</v>
      </c>
      <c r="I617" s="3" t="s">
        <v>7</v>
      </c>
      <c r="J617" s="3" t="s">
        <v>217</v>
      </c>
      <c r="K617" s="3" t="s">
        <v>219</v>
      </c>
      <c r="L617" s="12">
        <v>1108867</v>
      </c>
      <c r="M617" s="11">
        <v>1360624</v>
      </c>
    </row>
    <row r="618" spans="1:13">
      <c r="A618" s="15">
        <v>46235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7">
        <f>IFERROR(VLOOKUP(F618,Hoja2!$K$2:$M$1198,2,FALSE),0)</f>
        <v>17001000</v>
      </c>
      <c r="H618" s="17">
        <f>IFERROR(VLOOKUP(F618,Hoja2!$K$2:$M$1198,3,FALSE),0)</f>
        <v>13001000</v>
      </c>
      <c r="I618" s="3" t="s">
        <v>7</v>
      </c>
      <c r="J618" s="3" t="s">
        <v>217</v>
      </c>
      <c r="K618" s="3" t="s">
        <v>219</v>
      </c>
      <c r="L618" s="12">
        <v>860449</v>
      </c>
      <c r="M618" s="11">
        <v>4003706</v>
      </c>
    </row>
    <row r="619" spans="1:13">
      <c r="A619" s="15">
        <v>46235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7">
        <f>IFERROR(VLOOKUP(F619,Hoja2!$K$2:$M$1198,2,FALSE),0)</f>
        <v>17001000</v>
      </c>
      <c r="H619" s="17">
        <f>IFERROR(VLOOKUP(F619,Hoja2!$K$2:$M$1198,3,FALSE),0)</f>
        <v>47001000</v>
      </c>
      <c r="I619" s="3" t="s">
        <v>7</v>
      </c>
      <c r="J619" s="3" t="s">
        <v>217</v>
      </c>
      <c r="K619" s="3" t="s">
        <v>219</v>
      </c>
      <c r="L619" s="12">
        <v>756602</v>
      </c>
      <c r="M619" s="11">
        <v>3449744</v>
      </c>
    </row>
    <row r="620" spans="1:13">
      <c r="A620" s="15">
        <v>46235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7">
        <f>IFERROR(VLOOKUP(F620,Hoja2!$K$2:$M$1198,2,FALSE),0)</f>
        <v>17001000</v>
      </c>
      <c r="H620" s="17">
        <f>IFERROR(VLOOKUP(F620,Hoja2!$K$2:$M$1198,3,FALSE),0)</f>
        <v>11001000</v>
      </c>
      <c r="I620" s="3" t="s">
        <v>7</v>
      </c>
      <c r="J620" s="3" t="s">
        <v>217</v>
      </c>
      <c r="K620" s="3" t="s">
        <v>219</v>
      </c>
      <c r="L620" s="12">
        <v>806518</v>
      </c>
      <c r="M620" s="11">
        <v>1617303</v>
      </c>
    </row>
    <row r="621" spans="1:13">
      <c r="A621" s="15">
        <v>46235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7">
        <f>IFERROR(VLOOKUP(F621,Hoja2!$K$2:$M$1198,2,FALSE),0)</f>
        <v>17001000</v>
      </c>
      <c r="H621" s="17">
        <f>IFERROR(VLOOKUP(F621,Hoja2!$K$2:$M$1198,3,FALSE),0)</f>
        <v>11001000</v>
      </c>
      <c r="I621" s="3" t="s">
        <v>7</v>
      </c>
      <c r="J621" s="3" t="s">
        <v>217</v>
      </c>
      <c r="K621" s="3" t="s">
        <v>219</v>
      </c>
      <c r="L621" s="12">
        <v>806518</v>
      </c>
      <c r="M621" s="11">
        <v>1592367</v>
      </c>
    </row>
    <row r="622" spans="1:13">
      <c r="A622" s="15">
        <v>46235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7">
        <f>IFERROR(VLOOKUP(F622,Hoja2!$K$2:$M$1198,2,FALSE),0)</f>
        <v>17001000</v>
      </c>
      <c r="H622" s="17">
        <f>IFERROR(VLOOKUP(F622,Hoja2!$K$2:$M$1198,3,FALSE),0)</f>
        <v>5088000</v>
      </c>
      <c r="I622" s="3" t="s">
        <v>7</v>
      </c>
      <c r="J622" s="3" t="s">
        <v>217</v>
      </c>
      <c r="K622" s="3" t="s">
        <v>219</v>
      </c>
      <c r="L622" s="12">
        <v>806293</v>
      </c>
      <c r="M622" s="11">
        <v>1111082</v>
      </c>
    </row>
    <row r="623" spans="1:13">
      <c r="A623" s="15">
        <v>46235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7">
        <f>IFERROR(VLOOKUP(F623,Hoja2!$K$2:$M$1198,2,FALSE),0)</f>
        <v>17001000</v>
      </c>
      <c r="H623" s="17">
        <f>IFERROR(VLOOKUP(F623,Hoja2!$K$2:$M$1198,3,FALSE),0)</f>
        <v>8433000</v>
      </c>
      <c r="I623" s="3" t="s">
        <v>7</v>
      </c>
      <c r="J623" s="3" t="s">
        <v>217</v>
      </c>
      <c r="K623" s="3" t="s">
        <v>219</v>
      </c>
      <c r="L623" s="12">
        <v>756602</v>
      </c>
      <c r="M623" s="11">
        <v>4140852</v>
      </c>
    </row>
    <row r="624" spans="1:13">
      <c r="A624" s="15">
        <v>46235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7">
        <f>IFERROR(VLOOKUP(F624,Hoja2!$K$2:$M$1198,2,FALSE),0)</f>
        <v>17001000</v>
      </c>
      <c r="H624" s="17">
        <f>IFERROR(VLOOKUP(F624,Hoja2!$K$2:$M$1198,3,FALSE),0)</f>
        <v>76892000</v>
      </c>
      <c r="I624" s="3" t="s">
        <v>7</v>
      </c>
      <c r="J624" s="3" t="s">
        <v>217</v>
      </c>
      <c r="K624" s="3" t="s">
        <v>219</v>
      </c>
      <c r="L624" s="12">
        <v>747567</v>
      </c>
      <c r="M624" s="11">
        <v>1155513</v>
      </c>
    </row>
    <row r="625" spans="1:13">
      <c r="A625" s="15">
        <v>46235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7">
        <f>IFERROR(VLOOKUP(F625,Hoja2!$K$2:$M$1198,2,FALSE),0)</f>
        <v>73001000</v>
      </c>
      <c r="H625" s="17">
        <f>IFERROR(VLOOKUP(F625,Hoja2!$K$2:$M$1198,3,FALSE),0)</f>
        <v>76001000</v>
      </c>
      <c r="I625" s="3" t="s">
        <v>7</v>
      </c>
      <c r="J625" s="3" t="s">
        <v>217</v>
      </c>
      <c r="K625" s="3" t="s">
        <v>219</v>
      </c>
      <c r="L625" s="12">
        <v>1151920</v>
      </c>
      <c r="M625" s="11">
        <v>1961417</v>
      </c>
    </row>
    <row r="626" spans="1:13">
      <c r="A626" s="15">
        <v>46235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7">
        <f>IFERROR(VLOOKUP(F626,Hoja2!$K$2:$M$1198,2,FALSE),0)</f>
        <v>73443000</v>
      </c>
      <c r="H626" s="17">
        <f>IFERROR(VLOOKUP(F626,Hoja2!$K$2:$M$1198,3,FALSE),0)</f>
        <v>73001000</v>
      </c>
      <c r="I626" s="3" t="s">
        <v>7</v>
      </c>
      <c r="J626" s="3" t="s">
        <v>217</v>
      </c>
      <c r="K626" s="3" t="s">
        <v>219</v>
      </c>
      <c r="L626" s="12">
        <v>1153110</v>
      </c>
      <c r="M626" s="11">
        <v>958974</v>
      </c>
    </row>
    <row r="627" spans="1:13">
      <c r="A627" s="15">
        <v>46235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7">
        <f>IFERROR(VLOOKUP(F627,Hoja2!$K$2:$M$1198,2,FALSE),0)</f>
        <v>73443000</v>
      </c>
      <c r="H627" s="17">
        <f>IFERROR(VLOOKUP(F627,Hoja2!$K$2:$M$1198,3,FALSE),0)</f>
        <v>11001000</v>
      </c>
      <c r="I627" s="3" t="s">
        <v>7</v>
      </c>
      <c r="J627" s="3" t="s">
        <v>217</v>
      </c>
      <c r="K627" s="3" t="s">
        <v>219</v>
      </c>
      <c r="L627" s="12">
        <v>1674330</v>
      </c>
      <c r="M627" s="11">
        <v>732058</v>
      </c>
    </row>
    <row r="628" spans="1:13">
      <c r="A628" s="15">
        <v>46235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7">
        <f>IFERROR(VLOOKUP(F628,Hoja2!$K$2:$M$1198,2,FALSE),0)</f>
        <v>0</v>
      </c>
      <c r="H628" s="17">
        <f>IFERROR(VLOOKUP(F628,Hoja2!$K$2:$M$1198,3,FALSE),0)</f>
        <v>0</v>
      </c>
      <c r="I628" s="3" t="s">
        <v>7</v>
      </c>
      <c r="J628" s="3" t="s">
        <v>217</v>
      </c>
      <c r="K628" s="3" t="s">
        <v>219</v>
      </c>
      <c r="L628" s="12">
        <v>1160250</v>
      </c>
      <c r="M628" s="11">
        <v>709801</v>
      </c>
    </row>
    <row r="629" spans="1:13">
      <c r="A629" s="15">
        <v>46235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7">
        <f>IFERROR(VLOOKUP(F629,Hoja2!$K$2:$M$1198,2,FALSE),0)</f>
        <v>73001000</v>
      </c>
      <c r="H629" s="17">
        <f>IFERROR(VLOOKUP(F629,Hoja2!$K$2:$M$1198,3,FALSE),0)</f>
        <v>76892000</v>
      </c>
      <c r="I629" s="3" t="s">
        <v>7</v>
      </c>
      <c r="J629" s="3" t="s">
        <v>217</v>
      </c>
      <c r="K629" s="3" t="s">
        <v>219</v>
      </c>
      <c r="L629" s="12">
        <v>1151920</v>
      </c>
      <c r="M629" s="11">
        <v>1820692</v>
      </c>
    </row>
    <row r="630" spans="1:13">
      <c r="A630" s="15">
        <v>46235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7">
        <f>IFERROR(VLOOKUP(F630,Hoja2!$K$2:$M$1198,2,FALSE),0)</f>
        <v>54498000</v>
      </c>
      <c r="H630" s="17">
        <f>IFERROR(VLOOKUP(F630,Hoja2!$K$2:$M$1198,3,FALSE),0)</f>
        <v>54001000</v>
      </c>
      <c r="I630" s="3" t="s">
        <v>7</v>
      </c>
      <c r="J630" s="3" t="s">
        <v>217</v>
      </c>
      <c r="K630" s="3" t="s">
        <v>219</v>
      </c>
      <c r="L630" s="12">
        <v>1177321</v>
      </c>
      <c r="M630" s="11">
        <v>1164220</v>
      </c>
    </row>
    <row r="631" spans="1:13">
      <c r="A631" s="15">
        <v>46235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7">
        <f>IFERROR(VLOOKUP(F631,Hoja2!$K$2:$M$1198,2,FALSE),0)</f>
        <v>68001000</v>
      </c>
      <c r="H631" s="17">
        <f>IFERROR(VLOOKUP(F631,Hoja2!$K$2:$M$1198,3,FALSE),0)</f>
        <v>11001000</v>
      </c>
      <c r="I631" s="3" t="s">
        <v>7</v>
      </c>
      <c r="J631" s="3" t="s">
        <v>217</v>
      </c>
      <c r="K631" s="3" t="s">
        <v>219</v>
      </c>
      <c r="L631" s="12">
        <v>958063</v>
      </c>
      <c r="M631" s="11">
        <v>1555811</v>
      </c>
    </row>
    <row r="632" spans="1:13">
      <c r="A632" s="15">
        <v>46235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7">
        <f>IFERROR(VLOOKUP(F632,Hoja2!$K$2:$M$1198,2,FALSE),0)</f>
        <v>68001000</v>
      </c>
      <c r="H632" s="17">
        <f>IFERROR(VLOOKUP(F632,Hoja2!$K$2:$M$1198,3,FALSE),0)</f>
        <v>11001000</v>
      </c>
      <c r="I632" s="3" t="s">
        <v>7</v>
      </c>
      <c r="J632" s="3" t="s">
        <v>217</v>
      </c>
      <c r="K632" s="3" t="s">
        <v>219</v>
      </c>
      <c r="L632" s="12">
        <v>981843</v>
      </c>
      <c r="M632" s="11">
        <v>1577946</v>
      </c>
    </row>
    <row r="633" spans="1:13">
      <c r="A633" s="15">
        <v>46235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7">
        <f>IFERROR(VLOOKUP(F633,Hoja2!$K$2:$M$1198,2,FALSE),0)</f>
        <v>68001000</v>
      </c>
      <c r="H633" s="17">
        <f>IFERROR(VLOOKUP(F633,Hoja2!$K$2:$M$1198,3,FALSE),0)</f>
        <v>11001000</v>
      </c>
      <c r="I633" s="3" t="s">
        <v>7</v>
      </c>
      <c r="J633" s="3" t="s">
        <v>217</v>
      </c>
      <c r="K633" s="3" t="s">
        <v>219</v>
      </c>
      <c r="L633" s="12">
        <v>981843</v>
      </c>
      <c r="M633" s="11">
        <v>1594676</v>
      </c>
    </row>
    <row r="634" spans="1:13">
      <c r="A634" s="15">
        <v>46235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7">
        <f>IFERROR(VLOOKUP(F634,Hoja2!$K$2:$M$1198,2,FALSE),0)</f>
        <v>68549000</v>
      </c>
      <c r="H634" s="17">
        <f>IFERROR(VLOOKUP(F634,Hoja2!$K$2:$M$1198,3,FALSE),0)</f>
        <v>68547000</v>
      </c>
      <c r="I634" s="3" t="s">
        <v>7</v>
      </c>
      <c r="J634" s="3" t="s">
        <v>217</v>
      </c>
      <c r="K634" s="3" t="s">
        <v>219</v>
      </c>
      <c r="L634" s="12">
        <v>981863</v>
      </c>
      <c r="M634" s="11">
        <v>774793</v>
      </c>
    </row>
    <row r="635" spans="1:13">
      <c r="A635" s="15">
        <v>46235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7">
        <f>IFERROR(VLOOKUP(F635,Hoja2!$K$2:$M$1198,2,FALSE),0)</f>
        <v>19001000</v>
      </c>
      <c r="H635" s="17">
        <f>IFERROR(VLOOKUP(F635,Hoja2!$K$2:$M$1198,3,FALSE),0)</f>
        <v>19142000</v>
      </c>
      <c r="I635" s="3" t="s">
        <v>7</v>
      </c>
      <c r="J635" s="3" t="s">
        <v>217</v>
      </c>
      <c r="K635" s="3" t="s">
        <v>219</v>
      </c>
      <c r="L635" s="12">
        <v>617759</v>
      </c>
      <c r="M635" s="11">
        <v>806360</v>
      </c>
    </row>
    <row r="636" spans="1:13">
      <c r="A636" s="15">
        <v>46235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7">
        <f>IFERROR(VLOOKUP(F636,Hoja2!$K$2:$M$1198,2,FALSE),0)</f>
        <v>19001000</v>
      </c>
      <c r="H636" s="17">
        <f>IFERROR(VLOOKUP(F636,Hoja2!$K$2:$M$1198,3,FALSE),0)</f>
        <v>76892000</v>
      </c>
      <c r="I636" s="3" t="s">
        <v>7</v>
      </c>
      <c r="J636" s="3" t="s">
        <v>217</v>
      </c>
      <c r="K636" s="3" t="s">
        <v>219</v>
      </c>
      <c r="L636" s="12">
        <v>617759</v>
      </c>
      <c r="M636" s="11">
        <v>964853</v>
      </c>
    </row>
    <row r="637" spans="1:13">
      <c r="A637" s="15">
        <v>46235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7">
        <f>IFERROR(VLOOKUP(F637,Hoja2!$K$2:$M$1198,2,FALSE),0)</f>
        <v>73001000</v>
      </c>
      <c r="H637" s="17">
        <f>IFERROR(VLOOKUP(F637,Hoja2!$K$2:$M$1198,3,FALSE),0)</f>
        <v>76001000</v>
      </c>
      <c r="I637" s="3" t="s">
        <v>7</v>
      </c>
      <c r="J637" s="3" t="s">
        <v>217</v>
      </c>
      <c r="K637" s="3" t="s">
        <v>219</v>
      </c>
      <c r="L637" s="12">
        <v>520030</v>
      </c>
      <c r="M637" s="11">
        <v>1795055</v>
      </c>
    </row>
    <row r="638" spans="1:13">
      <c r="A638" s="15">
        <v>46235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7">
        <f>IFERROR(VLOOKUP(F638,Hoja2!$K$2:$M$1198,2,FALSE),0)</f>
        <v>73001000</v>
      </c>
      <c r="H638" s="17">
        <f>IFERROR(VLOOKUP(F638,Hoja2!$K$2:$M$1198,3,FALSE),0)</f>
        <v>76892000</v>
      </c>
      <c r="I638" s="3" t="s">
        <v>7</v>
      </c>
      <c r="J638" s="3" t="s">
        <v>217</v>
      </c>
      <c r="K638" s="3" t="s">
        <v>219</v>
      </c>
      <c r="L638" s="12">
        <v>520030</v>
      </c>
      <c r="M638" s="11">
        <v>1705289</v>
      </c>
    </row>
    <row r="639" spans="1:13">
      <c r="A639" s="15">
        <v>46235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7">
        <f>IFERROR(VLOOKUP(F639,Hoja2!$K$2:$M$1198,2,FALSE),0)</f>
        <v>44001000</v>
      </c>
      <c r="H639" s="17">
        <f>IFERROR(VLOOKUP(F639,Hoja2!$K$2:$M$1198,3,FALSE),0)</f>
        <v>20001000</v>
      </c>
      <c r="I639" s="3" t="s">
        <v>7</v>
      </c>
      <c r="J639" s="3" t="s">
        <v>217</v>
      </c>
      <c r="K639" s="3" t="s">
        <v>219</v>
      </c>
      <c r="L639" s="12">
        <v>1275839</v>
      </c>
      <c r="M639" s="11">
        <v>767861</v>
      </c>
    </row>
    <row r="640" spans="1:13">
      <c r="A640" s="15">
        <v>46235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7">
        <f>IFERROR(VLOOKUP(F640,Hoja2!$K$2:$M$1198,2,FALSE),0)</f>
        <v>44001000</v>
      </c>
      <c r="H640" s="17">
        <f>IFERROR(VLOOKUP(F640,Hoja2!$K$2:$M$1198,3,FALSE),0)</f>
        <v>44430000</v>
      </c>
      <c r="I640" s="3" t="s">
        <v>7</v>
      </c>
      <c r="J640" s="3" t="s">
        <v>217</v>
      </c>
      <c r="K640" s="3" t="s">
        <v>219</v>
      </c>
      <c r="L640" s="12">
        <v>838196</v>
      </c>
      <c r="M640" s="11">
        <v>695807</v>
      </c>
    </row>
    <row r="641" spans="1:13">
      <c r="A641" s="15">
        <v>46235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7">
        <f>IFERROR(VLOOKUP(F641,Hoja2!$K$2:$M$1198,2,FALSE),0)</f>
        <v>44001000</v>
      </c>
      <c r="H641" s="17">
        <f>IFERROR(VLOOKUP(F641,Hoja2!$K$2:$M$1198,3,FALSE),0)</f>
        <v>8433000</v>
      </c>
      <c r="I641" s="3" t="s">
        <v>7</v>
      </c>
      <c r="J641" s="3" t="s">
        <v>217</v>
      </c>
      <c r="K641" s="3" t="s">
        <v>219</v>
      </c>
      <c r="L641" s="12">
        <v>658036</v>
      </c>
      <c r="M641" s="11">
        <v>1474740</v>
      </c>
    </row>
    <row r="642" spans="1:13">
      <c r="A642" s="15">
        <v>46235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7">
        <f>IFERROR(VLOOKUP(F642,Hoja2!$K$2:$M$1198,2,FALSE),0)</f>
        <v>5615000</v>
      </c>
      <c r="H642" s="17">
        <f>IFERROR(VLOOKUP(F642,Hoja2!$K$2:$M$1198,3,FALSE),0)</f>
        <v>5088000</v>
      </c>
      <c r="I642" s="3" t="s">
        <v>7</v>
      </c>
      <c r="J642" s="3" t="s">
        <v>217</v>
      </c>
      <c r="K642" s="3" t="s">
        <v>219</v>
      </c>
      <c r="L642" s="12">
        <v>487525</v>
      </c>
      <c r="M642" s="11">
        <v>622971</v>
      </c>
    </row>
    <row r="643" spans="1:13">
      <c r="A643" s="15">
        <v>46235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7">
        <f>IFERROR(VLOOKUP(F643,Hoja2!$K$2:$M$1198,2,FALSE),0)</f>
        <v>5615000</v>
      </c>
      <c r="H643" s="17">
        <f>IFERROR(VLOOKUP(F643,Hoja2!$K$2:$M$1198,3,FALSE),0)</f>
        <v>5001000</v>
      </c>
      <c r="I643" s="3" t="s">
        <v>7</v>
      </c>
      <c r="J643" s="3" t="s">
        <v>217</v>
      </c>
      <c r="K643" s="3" t="s">
        <v>219</v>
      </c>
      <c r="L643" s="12">
        <v>487525</v>
      </c>
      <c r="M643" s="11">
        <v>643870</v>
      </c>
    </row>
    <row r="644" spans="1:13">
      <c r="A644" s="15">
        <v>46235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7">
        <f>IFERROR(VLOOKUP(F644,Hoja2!$K$2:$M$1198,2,FALSE),0)</f>
        <v>5615000</v>
      </c>
      <c r="H644" s="17">
        <f>IFERROR(VLOOKUP(F644,Hoja2!$K$2:$M$1198,3,FALSE),0)</f>
        <v>76892000</v>
      </c>
      <c r="I644" s="3" t="s">
        <v>7</v>
      </c>
      <c r="J644" s="3" t="s">
        <v>217</v>
      </c>
      <c r="K644" s="3" t="s">
        <v>219</v>
      </c>
      <c r="L644" s="12">
        <v>487525</v>
      </c>
      <c r="M644" s="11">
        <v>2000962</v>
      </c>
    </row>
    <row r="645" spans="1:13">
      <c r="A645" s="15">
        <v>46235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7">
        <f>IFERROR(VLOOKUP(F645,Hoja2!$K$2:$M$1198,2,FALSE),0)</f>
        <v>5042000</v>
      </c>
      <c r="H645" s="17">
        <f>IFERROR(VLOOKUP(F645,Hoja2!$K$2:$M$1198,3,FALSE),0)</f>
        <v>5001000</v>
      </c>
      <c r="I645" s="3" t="s">
        <v>7</v>
      </c>
      <c r="J645" s="3" t="s">
        <v>217</v>
      </c>
      <c r="K645" s="3" t="s">
        <v>219</v>
      </c>
      <c r="L645" s="12">
        <v>602055</v>
      </c>
      <c r="M645" s="11">
        <v>672898</v>
      </c>
    </row>
    <row r="646" spans="1:13">
      <c r="A646" s="15">
        <v>46235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7">
        <f>IFERROR(VLOOKUP(F646,Hoja2!$K$2:$M$1198,2,FALSE),0)</f>
        <v>5042000</v>
      </c>
      <c r="H646" s="17">
        <f>IFERROR(VLOOKUP(F646,Hoja2!$K$2:$M$1198,3,FALSE),0)</f>
        <v>5001000</v>
      </c>
      <c r="I646" s="3" t="s">
        <v>7</v>
      </c>
      <c r="J646" s="3" t="s">
        <v>217</v>
      </c>
      <c r="K646" s="3" t="s">
        <v>219</v>
      </c>
      <c r="L646" s="12">
        <v>598354</v>
      </c>
      <c r="M646" s="11">
        <v>662193</v>
      </c>
    </row>
    <row r="647" spans="1:13">
      <c r="A647" s="15">
        <v>46235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7">
        <f>IFERROR(VLOOKUP(F647,Hoja2!$K$2:$M$1198,2,FALSE),0)</f>
        <v>47001000</v>
      </c>
      <c r="H647" s="17">
        <f>IFERROR(VLOOKUP(F647,Hoja2!$K$2:$M$1198,3,FALSE),0)</f>
        <v>13001000</v>
      </c>
      <c r="I647" s="3" t="s">
        <v>7</v>
      </c>
      <c r="J647" s="3" t="s">
        <v>217</v>
      </c>
      <c r="K647" s="3" t="s">
        <v>219</v>
      </c>
      <c r="L647" s="12">
        <v>574770</v>
      </c>
      <c r="M647" s="11">
        <v>1394297</v>
      </c>
    </row>
    <row r="648" spans="1:13">
      <c r="A648" s="15">
        <v>46235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7">
        <f>IFERROR(VLOOKUP(F648,Hoja2!$K$2:$M$1198,2,FALSE),0)</f>
        <v>47001000</v>
      </c>
      <c r="H648" s="17">
        <f>IFERROR(VLOOKUP(F648,Hoja2!$K$2:$M$1198,3,FALSE),0)</f>
        <v>5001000</v>
      </c>
      <c r="I648" s="3" t="s">
        <v>7</v>
      </c>
      <c r="J648" s="3" t="s">
        <v>217</v>
      </c>
      <c r="K648" s="3" t="s">
        <v>219</v>
      </c>
      <c r="L648" s="12">
        <v>609820</v>
      </c>
      <c r="M648" s="11">
        <v>2835960</v>
      </c>
    </row>
    <row r="649" spans="1:13">
      <c r="A649" s="15">
        <v>46235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7">
        <f>IFERROR(VLOOKUP(F649,Hoja2!$K$2:$M$1198,2,FALSE),0)</f>
        <v>47001000</v>
      </c>
      <c r="H649" s="17">
        <f>IFERROR(VLOOKUP(F649,Hoja2!$K$2:$M$1198,3,FALSE),0)</f>
        <v>44430000</v>
      </c>
      <c r="I649" s="3" t="s">
        <v>7</v>
      </c>
      <c r="J649" s="3" t="s">
        <v>217</v>
      </c>
      <c r="K649" s="3" t="s">
        <v>219</v>
      </c>
      <c r="L649" s="12">
        <v>694945</v>
      </c>
      <c r="M649" s="11">
        <v>1208727</v>
      </c>
    </row>
    <row r="650" spans="1:13">
      <c r="A650" s="15">
        <v>46235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7">
        <f>IFERROR(VLOOKUP(F650,Hoja2!$K$2:$M$1198,2,FALSE),0)</f>
        <v>47001000</v>
      </c>
      <c r="H650" s="17">
        <f>IFERROR(VLOOKUP(F650,Hoja2!$K$2:$M$1198,3,FALSE),0)</f>
        <v>11001000</v>
      </c>
      <c r="I650" s="3" t="s">
        <v>7</v>
      </c>
      <c r="J650" s="3" t="s">
        <v>217</v>
      </c>
      <c r="K650" s="3" t="s">
        <v>219</v>
      </c>
      <c r="L650" s="12">
        <v>495040</v>
      </c>
      <c r="M650" s="11">
        <v>4209595</v>
      </c>
    </row>
    <row r="651" spans="1:13">
      <c r="A651" s="15">
        <v>46235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7">
        <f>IFERROR(VLOOKUP(F651,Hoja2!$K$2:$M$1198,2,FALSE),0)</f>
        <v>47001000</v>
      </c>
      <c r="H651" s="17">
        <f>IFERROR(VLOOKUP(F651,Hoja2!$K$2:$M$1198,3,FALSE),0)</f>
        <v>11001000</v>
      </c>
      <c r="I651" s="3" t="s">
        <v>7</v>
      </c>
      <c r="J651" s="3" t="s">
        <v>217</v>
      </c>
      <c r="K651" s="3" t="s">
        <v>219</v>
      </c>
      <c r="L651" s="12">
        <v>518820</v>
      </c>
      <c r="M651" s="11">
        <v>4285479</v>
      </c>
    </row>
    <row r="652" spans="1:13">
      <c r="A652" s="15">
        <v>46235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7">
        <f>IFERROR(VLOOKUP(F652,Hoja2!$K$2:$M$1198,2,FALSE),0)</f>
        <v>0</v>
      </c>
      <c r="H652" s="17">
        <f>IFERROR(VLOOKUP(F652,Hoja2!$K$2:$M$1198,3,FALSE),0)</f>
        <v>0</v>
      </c>
      <c r="I652" s="3" t="s">
        <v>7</v>
      </c>
      <c r="J652" s="3" t="s">
        <v>217</v>
      </c>
      <c r="K652" s="3" t="s">
        <v>219</v>
      </c>
      <c r="L652" s="12">
        <v>497406</v>
      </c>
      <c r="M652" s="11">
        <v>5466031</v>
      </c>
    </row>
    <row r="653" spans="1:13">
      <c r="A653" s="15">
        <v>46235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7">
        <f>IFERROR(VLOOKUP(F653,Hoja2!$K$2:$M$1198,2,FALSE),0)</f>
        <v>47001000</v>
      </c>
      <c r="H653" s="17">
        <f>IFERROR(VLOOKUP(F653,Hoja2!$K$2:$M$1198,3,FALSE),0)</f>
        <v>8433000</v>
      </c>
      <c r="I653" s="3" t="s">
        <v>7</v>
      </c>
      <c r="J653" s="3" t="s">
        <v>217</v>
      </c>
      <c r="K653" s="3" t="s">
        <v>219</v>
      </c>
      <c r="L653" s="12">
        <v>518840</v>
      </c>
      <c r="M653" s="11">
        <v>800856</v>
      </c>
    </row>
    <row r="654" spans="1:13">
      <c r="A654" s="15">
        <v>46235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7">
        <f>IFERROR(VLOOKUP(F654,Hoja2!$K$2:$M$1198,2,FALSE),0)</f>
        <v>70001000</v>
      </c>
      <c r="H654" s="17">
        <f>IFERROR(VLOOKUP(F654,Hoja2!$K$2:$M$1198,3,FALSE),0)</f>
        <v>23001000</v>
      </c>
      <c r="I654" s="3" t="s">
        <v>7</v>
      </c>
      <c r="J654" s="3" t="s">
        <v>217</v>
      </c>
      <c r="K654" s="3" t="s">
        <v>219</v>
      </c>
      <c r="L654" s="12">
        <v>797181</v>
      </c>
      <c r="M654" s="11">
        <v>793772</v>
      </c>
    </row>
    <row r="655" spans="1:13">
      <c r="A655" s="15">
        <v>46235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7">
        <f>IFERROR(VLOOKUP(F655,Hoja2!$K$2:$M$1198,2,FALSE),0)</f>
        <v>52835000</v>
      </c>
      <c r="H655" s="17">
        <f>IFERROR(VLOOKUP(F655,Hoja2!$K$2:$M$1198,3,FALSE),0)</f>
        <v>76001000</v>
      </c>
      <c r="I655" s="3" t="s">
        <v>7</v>
      </c>
      <c r="J655" s="3" t="s">
        <v>217</v>
      </c>
      <c r="K655" s="3" t="s">
        <v>219</v>
      </c>
      <c r="L655" s="12">
        <v>632092</v>
      </c>
      <c r="M655" s="11">
        <v>2738815</v>
      </c>
    </row>
    <row r="656" spans="1:13">
      <c r="A656" s="15">
        <v>46235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7">
        <f>IFERROR(VLOOKUP(F656,Hoja2!$K$2:$M$1198,2,FALSE),0)</f>
        <v>85001000</v>
      </c>
      <c r="H656" s="17">
        <f>IFERROR(VLOOKUP(F656,Hoja2!$K$2:$M$1198,3,FALSE),0)</f>
        <v>11001000</v>
      </c>
      <c r="I656" s="3" t="s">
        <v>7</v>
      </c>
      <c r="J656" s="3" t="s">
        <v>217</v>
      </c>
      <c r="K656" s="3" t="s">
        <v>219</v>
      </c>
      <c r="L656" s="12">
        <v>560511</v>
      </c>
      <c r="M656" s="11">
        <v>1810555</v>
      </c>
    </row>
    <row r="657" spans="1:13">
      <c r="A657" s="15">
        <v>46235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7">
        <f>IFERROR(VLOOKUP(F657,Hoja2!$K$2:$M$1198,2,FALSE),0)</f>
        <v>25899000</v>
      </c>
      <c r="H657" s="17">
        <f>IFERROR(VLOOKUP(F657,Hoja2!$K$2:$M$1198,3,FALSE),0)</f>
        <v>11001000</v>
      </c>
      <c r="I657" s="3" t="s">
        <v>7</v>
      </c>
      <c r="J657" s="3" t="s">
        <v>217</v>
      </c>
      <c r="K657" s="3" t="s">
        <v>219</v>
      </c>
      <c r="L657" s="12">
        <v>470169</v>
      </c>
      <c r="M657" s="11">
        <v>650718</v>
      </c>
    </row>
    <row r="658" spans="1:13">
      <c r="A658" s="15">
        <v>46235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7">
        <f>IFERROR(VLOOKUP(F658,Hoja2!$K$2:$M$1198,2,FALSE),0)</f>
        <v>25899000</v>
      </c>
      <c r="H658" s="17">
        <f>IFERROR(VLOOKUP(F658,Hoja2!$K$2:$M$1198,3,FALSE),0)</f>
        <v>76001000</v>
      </c>
      <c r="I658" s="3" t="s">
        <v>7</v>
      </c>
      <c r="J658" s="3" t="s">
        <v>217</v>
      </c>
      <c r="K658" s="3" t="s">
        <v>219</v>
      </c>
      <c r="L658" s="12">
        <v>669268</v>
      </c>
      <c r="M658" s="11">
        <v>1966404</v>
      </c>
    </row>
    <row r="659" spans="1:13">
      <c r="A659" s="15">
        <v>46235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7">
        <f>IFERROR(VLOOKUP(F659,Hoja2!$K$2:$M$1198,2,FALSE),0)</f>
        <v>0</v>
      </c>
      <c r="H659" s="17">
        <f>IFERROR(VLOOKUP(F659,Hoja2!$K$2:$M$1198,3,FALSE),0)</f>
        <v>0</v>
      </c>
      <c r="I659" s="3" t="s">
        <v>7</v>
      </c>
      <c r="J659" s="3" t="s">
        <v>217</v>
      </c>
      <c r="K659" s="3" t="s">
        <v>219</v>
      </c>
      <c r="L659" s="12">
        <v>502299</v>
      </c>
      <c r="M659" s="11">
        <v>628711</v>
      </c>
    </row>
    <row r="660" spans="1:13">
      <c r="A660" s="15">
        <v>46235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7">
        <f>IFERROR(VLOOKUP(F660,Hoja2!$K$2:$M$1198,2,FALSE),0)</f>
        <v>25899000</v>
      </c>
      <c r="H660" s="17">
        <f>IFERROR(VLOOKUP(F660,Hoja2!$K$2:$M$1198,3,FALSE),0)</f>
        <v>11001000</v>
      </c>
      <c r="I660" s="3" t="s">
        <v>7</v>
      </c>
      <c r="J660" s="3" t="s">
        <v>217</v>
      </c>
      <c r="K660" s="3" t="s">
        <v>219</v>
      </c>
      <c r="L660" s="12">
        <v>509811</v>
      </c>
      <c r="M660" s="11">
        <v>410107</v>
      </c>
    </row>
    <row r="661" spans="1:13">
      <c r="A661" s="15">
        <v>46235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7">
        <f>IFERROR(VLOOKUP(F661,Hoja2!$K$2:$M$1198,2,FALSE),0)</f>
        <v>25899000</v>
      </c>
      <c r="H661" s="17">
        <f>IFERROR(VLOOKUP(F661,Hoja2!$K$2:$M$1198,3,FALSE),0)</f>
        <v>11001000</v>
      </c>
      <c r="I661" s="3" t="s">
        <v>7</v>
      </c>
      <c r="J661" s="3" t="s">
        <v>217</v>
      </c>
      <c r="K661" s="3" t="s">
        <v>219</v>
      </c>
      <c r="L661" s="12">
        <v>509811</v>
      </c>
      <c r="M661" s="11">
        <v>574674</v>
      </c>
    </row>
    <row r="662" spans="1:13">
      <c r="A662" s="15">
        <v>46235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7">
        <f>IFERROR(VLOOKUP(F662,Hoja2!$K$2:$M$1198,2,FALSE),0)</f>
        <v>0</v>
      </c>
      <c r="H662" s="17">
        <f>IFERROR(VLOOKUP(F662,Hoja2!$K$2:$M$1198,3,FALSE),0)</f>
        <v>0</v>
      </c>
      <c r="I662" s="3" t="s">
        <v>7</v>
      </c>
      <c r="J662" s="3" t="s">
        <v>217</v>
      </c>
      <c r="K662" s="3" t="s">
        <v>219</v>
      </c>
      <c r="L662" s="12">
        <v>675967</v>
      </c>
      <c r="M662" s="11">
        <v>1789360</v>
      </c>
    </row>
    <row r="663" spans="1:13">
      <c r="A663" s="15">
        <v>46235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7">
        <f>IFERROR(VLOOKUP(F663,Hoja2!$K$2:$M$1198,2,FALSE),0)</f>
        <v>0</v>
      </c>
      <c r="H663" s="17">
        <f>IFERROR(VLOOKUP(F663,Hoja2!$K$2:$M$1198,3,FALSE),0)</f>
        <v>0</v>
      </c>
      <c r="I663" s="3" t="s">
        <v>7</v>
      </c>
      <c r="J663" s="3" t="s">
        <v>217</v>
      </c>
      <c r="K663" s="3" t="s">
        <v>219</v>
      </c>
      <c r="L663" s="12">
        <v>675742</v>
      </c>
      <c r="M663" s="11">
        <v>564878</v>
      </c>
    </row>
    <row r="664" spans="1:13">
      <c r="A664" s="15">
        <v>46235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7">
        <f>IFERROR(VLOOKUP(F664,Hoja2!$K$2:$M$1198,2,FALSE),0)</f>
        <v>11001000</v>
      </c>
      <c r="H664" s="17">
        <f>IFERROR(VLOOKUP(F664,Hoja2!$K$2:$M$1198,3,FALSE),0)</f>
        <v>19142000</v>
      </c>
      <c r="I664" s="3" t="s">
        <v>7</v>
      </c>
      <c r="J664" s="3" t="s">
        <v>217</v>
      </c>
      <c r="K664" s="3" t="s">
        <v>219</v>
      </c>
      <c r="L664" s="12">
        <v>495040</v>
      </c>
      <c r="M664" s="11">
        <v>2086280</v>
      </c>
    </row>
    <row r="665" spans="1:13">
      <c r="A665" s="15">
        <v>46235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7">
        <f>IFERROR(VLOOKUP(F665,Hoja2!$K$2:$M$1198,2,FALSE),0)</f>
        <v>11001000</v>
      </c>
      <c r="H665" s="17">
        <f>IFERROR(VLOOKUP(F665,Hoja2!$K$2:$M$1198,3,FALSE),0)</f>
        <v>17001000</v>
      </c>
      <c r="I665" s="3" t="s">
        <v>7</v>
      </c>
      <c r="J665" s="3" t="s">
        <v>217</v>
      </c>
      <c r="K665" s="3" t="s">
        <v>219</v>
      </c>
      <c r="L665" s="12">
        <v>717506</v>
      </c>
      <c r="M665" s="11">
        <v>1844218</v>
      </c>
    </row>
    <row r="666" spans="1:13">
      <c r="A666" s="15">
        <v>46235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7">
        <f>IFERROR(VLOOKUP(F666,Hoja2!$K$2:$M$1198,2,FALSE),0)</f>
        <v>11001000</v>
      </c>
      <c r="H666" s="17">
        <f>IFERROR(VLOOKUP(F666,Hoja2!$K$2:$M$1198,3,FALSE),0)</f>
        <v>47001000</v>
      </c>
      <c r="I666" s="3" t="s">
        <v>7</v>
      </c>
      <c r="J666" s="3" t="s">
        <v>217</v>
      </c>
      <c r="K666" s="3" t="s">
        <v>219</v>
      </c>
      <c r="L666" s="12">
        <v>710088</v>
      </c>
      <c r="M666" s="11">
        <v>4037538</v>
      </c>
    </row>
    <row r="667" spans="1:13">
      <c r="A667" s="15">
        <v>46235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7">
        <f>IFERROR(VLOOKUP(F667,Hoja2!$K$2:$M$1198,2,FALSE),0)</f>
        <v>11001000</v>
      </c>
      <c r="H667" s="17">
        <f>IFERROR(VLOOKUP(F667,Hoja2!$K$2:$M$1198,3,FALSE),0)</f>
        <v>68077000</v>
      </c>
      <c r="I667" s="3" t="s">
        <v>7</v>
      </c>
      <c r="J667" s="3" t="s">
        <v>217</v>
      </c>
      <c r="K667" s="3" t="s">
        <v>219</v>
      </c>
      <c r="L667" s="12">
        <v>569153</v>
      </c>
      <c r="M667" s="11">
        <v>1088824</v>
      </c>
    </row>
    <row r="668" spans="1:13">
      <c r="A668" s="15">
        <v>46235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7">
        <f>IFERROR(VLOOKUP(F668,Hoja2!$K$2:$M$1198,2,FALSE),0)</f>
        <v>11001000</v>
      </c>
      <c r="H668" s="17">
        <f>IFERROR(VLOOKUP(F668,Hoja2!$K$2:$M$1198,3,FALSE),0)</f>
        <v>20060000</v>
      </c>
      <c r="I668" s="3" t="s">
        <v>7</v>
      </c>
      <c r="J668" s="3" t="s">
        <v>217</v>
      </c>
      <c r="K668" s="3" t="s">
        <v>219</v>
      </c>
      <c r="L668" s="12">
        <v>739847</v>
      </c>
      <c r="M668" s="11">
        <v>3773837</v>
      </c>
    </row>
    <row r="669" spans="1:13">
      <c r="A669" s="15">
        <v>46235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7">
        <f>IFERROR(VLOOKUP(F669,Hoja2!$K$2:$M$1198,2,FALSE),0)</f>
        <v>11001000</v>
      </c>
      <c r="H669" s="17">
        <f>IFERROR(VLOOKUP(F669,Hoja2!$K$2:$M$1198,3,FALSE),0)</f>
        <v>5154000</v>
      </c>
      <c r="I669" s="3" t="s">
        <v>7</v>
      </c>
      <c r="J669" s="3" t="s">
        <v>217</v>
      </c>
      <c r="K669" s="3" t="s">
        <v>219</v>
      </c>
      <c r="L669" s="12">
        <v>757911</v>
      </c>
      <c r="M669" s="11">
        <v>2981113</v>
      </c>
    </row>
    <row r="670" spans="1:13">
      <c r="A670" s="15">
        <v>46235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7">
        <f>IFERROR(VLOOKUP(F670,Hoja2!$K$2:$M$1198,2,FALSE),0)</f>
        <v>11001000</v>
      </c>
      <c r="H670" s="17">
        <f>IFERROR(VLOOKUP(F670,Hoja2!$K$2:$M$1198,3,FALSE),0)</f>
        <v>5001000</v>
      </c>
      <c r="I670" s="3" t="s">
        <v>7</v>
      </c>
      <c r="J670" s="3" t="s">
        <v>217</v>
      </c>
      <c r="K670" s="3" t="s">
        <v>219</v>
      </c>
      <c r="L670" s="12">
        <v>643329</v>
      </c>
      <c r="M670" s="11">
        <v>3004108</v>
      </c>
    </row>
    <row r="671" spans="1:13">
      <c r="A671" s="15">
        <v>46235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7">
        <f>IFERROR(VLOOKUP(F671,Hoja2!$K$2:$M$1198,2,FALSE),0)</f>
        <v>11001000</v>
      </c>
      <c r="H671" s="17">
        <f>IFERROR(VLOOKUP(F671,Hoja2!$K$2:$M$1198,3,FALSE),0)</f>
        <v>20001000</v>
      </c>
      <c r="I671" s="3" t="s">
        <v>7</v>
      </c>
      <c r="J671" s="3" t="s">
        <v>217</v>
      </c>
      <c r="K671" s="3" t="s">
        <v>219</v>
      </c>
      <c r="L671" s="12">
        <v>1147731</v>
      </c>
      <c r="M671" s="11">
        <v>4062473</v>
      </c>
    </row>
    <row r="672" spans="1:13">
      <c r="A672" s="15">
        <v>46235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7">
        <f>IFERROR(VLOOKUP(F672,Hoja2!$K$2:$M$1198,2,FALSE),0)</f>
        <v>11001000</v>
      </c>
      <c r="H672" s="17">
        <f>IFERROR(VLOOKUP(F672,Hoja2!$K$2:$M$1198,3,FALSE),0)</f>
        <v>50313000</v>
      </c>
      <c r="I672" s="3" t="s">
        <v>7</v>
      </c>
      <c r="J672" s="3" t="s">
        <v>217</v>
      </c>
      <c r="K672" s="3" t="s">
        <v>219</v>
      </c>
      <c r="L672" s="12">
        <v>539482</v>
      </c>
      <c r="M672" s="11">
        <v>1098799</v>
      </c>
    </row>
    <row r="673" spans="1:13">
      <c r="A673" s="15">
        <v>46235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7">
        <f>IFERROR(VLOOKUP(F673,Hoja2!$K$2:$M$1198,2,FALSE),0)</f>
        <v>11001000</v>
      </c>
      <c r="H673" s="17">
        <f>IFERROR(VLOOKUP(F673,Hoja2!$K$2:$M$1198,3,FALSE),0)</f>
        <v>52356000</v>
      </c>
      <c r="I673" s="3" t="s">
        <v>7</v>
      </c>
      <c r="J673" s="3" t="s">
        <v>217</v>
      </c>
      <c r="K673" s="3" t="s">
        <v>219</v>
      </c>
      <c r="L673" s="12">
        <v>565292</v>
      </c>
      <c r="M673" s="11">
        <v>4135865</v>
      </c>
    </row>
    <row r="674" spans="1:13">
      <c r="A674" s="15">
        <v>46235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7">
        <f>IFERROR(VLOOKUP(F674,Hoja2!$K$2:$M$1198,2,FALSE),0)</f>
        <v>11001000</v>
      </c>
      <c r="H674" s="17">
        <f>IFERROR(VLOOKUP(F674,Hoja2!$K$2:$M$1198,3,FALSE),0)</f>
        <v>17380000</v>
      </c>
      <c r="I674" s="3" t="s">
        <v>7</v>
      </c>
      <c r="J674" s="3" t="s">
        <v>217</v>
      </c>
      <c r="K674" s="3" t="s">
        <v>219</v>
      </c>
      <c r="L674" s="12">
        <v>1017450</v>
      </c>
      <c r="M674" s="11">
        <v>1063214</v>
      </c>
    </row>
    <row r="675" spans="1:13">
      <c r="A675" s="15">
        <v>46235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7">
        <f>IFERROR(VLOOKUP(F675,Hoja2!$K$2:$M$1198,2,FALSE),0)</f>
        <v>11001000</v>
      </c>
      <c r="H675" s="17">
        <f>IFERROR(VLOOKUP(F675,Hoja2!$K$2:$M$1198,3,FALSE),0)</f>
        <v>73443000</v>
      </c>
      <c r="I675" s="3" t="s">
        <v>7</v>
      </c>
      <c r="J675" s="3" t="s">
        <v>217</v>
      </c>
      <c r="K675" s="3" t="s">
        <v>219</v>
      </c>
      <c r="L675" s="12">
        <v>1128120</v>
      </c>
      <c r="M675" s="11">
        <v>1026684</v>
      </c>
    </row>
    <row r="676" spans="1:13">
      <c r="A676" s="15">
        <v>46235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7">
        <f>IFERROR(VLOOKUP(F676,Hoja2!$K$2:$M$1198,2,FALSE),0)</f>
        <v>11001000</v>
      </c>
      <c r="H676" s="17">
        <f>IFERROR(VLOOKUP(F676,Hoja2!$K$2:$M$1198,3,FALSE),0)</f>
        <v>54498000</v>
      </c>
      <c r="I676" s="3" t="s">
        <v>7</v>
      </c>
      <c r="J676" s="3" t="s">
        <v>217</v>
      </c>
      <c r="K676" s="3" t="s">
        <v>219</v>
      </c>
      <c r="L676" s="12">
        <v>1153521</v>
      </c>
      <c r="M676" s="11">
        <v>2716268</v>
      </c>
    </row>
    <row r="677" spans="1:13">
      <c r="A677" s="15">
        <v>46235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7">
        <f>IFERROR(VLOOKUP(F677,Hoja2!$K$2:$M$1198,2,FALSE),0)</f>
        <v>11001000</v>
      </c>
      <c r="H677" s="17">
        <f>IFERROR(VLOOKUP(F677,Hoja2!$K$2:$M$1198,3,FALSE),0)</f>
        <v>54001000</v>
      </c>
      <c r="I677" s="3" t="s">
        <v>7</v>
      </c>
      <c r="J677" s="3" t="s">
        <v>217</v>
      </c>
      <c r="K677" s="3" t="s">
        <v>219</v>
      </c>
      <c r="L677" s="12">
        <v>1030540</v>
      </c>
      <c r="M677" s="11">
        <v>2809608</v>
      </c>
    </row>
    <row r="678" spans="1:13">
      <c r="A678" s="15">
        <v>46235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7">
        <f>IFERROR(VLOOKUP(F678,Hoja2!$K$2:$M$1198,2,FALSE),0)</f>
        <v>11001000</v>
      </c>
      <c r="H678" s="17">
        <f>IFERROR(VLOOKUP(F678,Hoja2!$K$2:$M$1198,3,FALSE),0)</f>
        <v>19001000</v>
      </c>
      <c r="I678" s="3" t="s">
        <v>7</v>
      </c>
      <c r="J678" s="3" t="s">
        <v>217</v>
      </c>
      <c r="K678" s="3" t="s">
        <v>219</v>
      </c>
      <c r="L678" s="12">
        <v>593959</v>
      </c>
      <c r="M678" s="11">
        <v>2679942</v>
      </c>
    </row>
    <row r="679" spans="1:13">
      <c r="A679" s="15">
        <v>46235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7">
        <f>IFERROR(VLOOKUP(F679,Hoja2!$K$2:$M$1198,2,FALSE),0)</f>
        <v>11001000</v>
      </c>
      <c r="H679" s="17">
        <f>IFERROR(VLOOKUP(F679,Hoja2!$K$2:$M$1198,3,FALSE),0)</f>
        <v>5579000</v>
      </c>
      <c r="I679" s="3" t="s">
        <v>7</v>
      </c>
      <c r="J679" s="3" t="s">
        <v>217</v>
      </c>
      <c r="K679" s="3" t="s">
        <v>219</v>
      </c>
      <c r="L679" s="12">
        <v>865859</v>
      </c>
      <c r="M679" s="11">
        <v>1360271</v>
      </c>
    </row>
    <row r="680" spans="1:13">
      <c r="A680" s="15">
        <v>46235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7">
        <f>IFERROR(VLOOKUP(F680,Hoja2!$K$2:$M$1198,2,FALSE),0)</f>
        <v>11001000</v>
      </c>
      <c r="H680" s="17">
        <f>IFERROR(VLOOKUP(F680,Hoja2!$K$2:$M$1198,3,FALSE),0)</f>
        <v>44001000</v>
      </c>
      <c r="I680" s="3" t="s">
        <v>7</v>
      </c>
      <c r="J680" s="3" t="s">
        <v>217</v>
      </c>
      <c r="K680" s="3" t="s">
        <v>219</v>
      </c>
      <c r="L680" s="12">
        <v>673000</v>
      </c>
      <c r="M680" s="11">
        <v>4452549</v>
      </c>
    </row>
    <row r="681" spans="1:13">
      <c r="A681" s="15">
        <v>46235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7">
        <f>IFERROR(VLOOKUP(F681,Hoja2!$K$2:$M$1198,2,FALSE),0)</f>
        <v>11001000</v>
      </c>
      <c r="H681" s="17">
        <f>IFERROR(VLOOKUP(F681,Hoja2!$K$2:$M$1198,3,FALSE),0)</f>
        <v>73671000</v>
      </c>
      <c r="I681" s="3" t="s">
        <v>7</v>
      </c>
      <c r="J681" s="3" t="s">
        <v>217</v>
      </c>
      <c r="K681" s="3" t="s">
        <v>219</v>
      </c>
      <c r="L681" s="12">
        <v>1017450</v>
      </c>
      <c r="M681" s="11">
        <v>970668</v>
      </c>
    </row>
    <row r="682" spans="1:13">
      <c r="A682" s="15">
        <v>46235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7">
        <f>IFERROR(VLOOKUP(F682,Hoja2!$K$2:$M$1198,2,FALSE),0)</f>
        <v>11001000</v>
      </c>
      <c r="H682" s="17">
        <f>IFERROR(VLOOKUP(F682,Hoja2!$K$2:$M$1198,3,FALSE),0)</f>
        <v>70001000</v>
      </c>
      <c r="I682" s="3" t="s">
        <v>7</v>
      </c>
      <c r="J682" s="3" t="s">
        <v>217</v>
      </c>
      <c r="K682" s="3" t="s">
        <v>219</v>
      </c>
      <c r="L682" s="12">
        <v>757911</v>
      </c>
      <c r="M682" s="11">
        <v>3877949</v>
      </c>
    </row>
    <row r="683" spans="1:13">
      <c r="A683" s="15">
        <v>46235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7">
        <f>IFERROR(VLOOKUP(F683,Hoja2!$K$2:$M$1198,2,FALSE),0)</f>
        <v>11001000</v>
      </c>
      <c r="H683" s="17">
        <f>IFERROR(VLOOKUP(F683,Hoja2!$K$2:$M$1198,3,FALSE),0)</f>
        <v>85001000</v>
      </c>
      <c r="I683" s="3" t="s">
        <v>7</v>
      </c>
      <c r="J683" s="3" t="s">
        <v>217</v>
      </c>
      <c r="K683" s="3" t="s">
        <v>219</v>
      </c>
      <c r="L683" s="12">
        <v>560511</v>
      </c>
      <c r="M683" s="11">
        <v>1816140</v>
      </c>
    </row>
    <row r="684" spans="1:13">
      <c r="A684" s="15">
        <v>46235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7">
        <f>IFERROR(VLOOKUP(F684,Hoja2!$K$2:$M$1198,2,FALSE),0)</f>
        <v>11001000</v>
      </c>
      <c r="H684" s="17">
        <f>IFERROR(VLOOKUP(F684,Hoja2!$K$2:$M$1198,3,FALSE),0)</f>
        <v>52001000</v>
      </c>
      <c r="I684" s="3" t="s">
        <v>7</v>
      </c>
      <c r="J684" s="3" t="s">
        <v>217</v>
      </c>
      <c r="K684" s="3" t="s">
        <v>219</v>
      </c>
      <c r="L684" s="12">
        <v>608292</v>
      </c>
      <c r="M684" s="11">
        <v>3939665</v>
      </c>
    </row>
    <row r="685" spans="1:13">
      <c r="A685" s="15">
        <v>46235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7">
        <f>IFERROR(VLOOKUP(F685,Hoja2!$K$2:$M$1198,2,FALSE),0)</f>
        <v>0</v>
      </c>
      <c r="H685" s="17">
        <f>IFERROR(VLOOKUP(F685,Hoja2!$K$2:$M$1198,3,FALSE),0)</f>
        <v>0</v>
      </c>
      <c r="I685" s="3" t="s">
        <v>7</v>
      </c>
      <c r="J685" s="3" t="s">
        <v>217</v>
      </c>
      <c r="K685" s="3" t="s">
        <v>219</v>
      </c>
      <c r="L685" s="12">
        <v>394128</v>
      </c>
      <c r="M685" s="11">
        <v>564420</v>
      </c>
    </row>
    <row r="686" spans="1:13">
      <c r="A686" s="15">
        <v>46235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7">
        <f>IFERROR(VLOOKUP(F686,Hoja2!$K$2:$M$1198,2,FALSE),0)</f>
        <v>11001000</v>
      </c>
      <c r="H686" s="17">
        <f>IFERROR(VLOOKUP(F686,Hoja2!$K$2:$M$1198,3,FALSE),0)</f>
        <v>5001000</v>
      </c>
      <c r="I686" s="3" t="s">
        <v>7</v>
      </c>
      <c r="J686" s="3" t="s">
        <v>217</v>
      </c>
      <c r="K686" s="3" t="s">
        <v>219</v>
      </c>
      <c r="L686" s="12">
        <v>540965</v>
      </c>
      <c r="M686" s="11">
        <v>1956430</v>
      </c>
    </row>
    <row r="687" spans="1:13">
      <c r="A687" s="15">
        <v>46235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7">
        <f>IFERROR(VLOOKUP(F687,Hoja2!$K$2:$M$1198,2,FALSE),0)</f>
        <v>11001000</v>
      </c>
      <c r="H687" s="17">
        <f>IFERROR(VLOOKUP(F687,Hoja2!$K$2:$M$1198,3,FALSE),0)</f>
        <v>66001000</v>
      </c>
      <c r="I687" s="3" t="s">
        <v>7</v>
      </c>
      <c r="J687" s="3" t="s">
        <v>217</v>
      </c>
      <c r="K687" s="3" t="s">
        <v>219</v>
      </c>
      <c r="L687" s="12">
        <v>613659</v>
      </c>
      <c r="M687" s="11">
        <v>1634758</v>
      </c>
    </row>
    <row r="688" spans="1:13">
      <c r="A688" s="15">
        <v>46235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7">
        <f>IFERROR(VLOOKUP(F688,Hoja2!$K$2:$M$1198,2,FALSE),0)</f>
        <v>11001000</v>
      </c>
      <c r="H688" s="17">
        <f>IFERROR(VLOOKUP(F688,Hoja2!$K$2:$M$1198,3,FALSE),0)</f>
        <v>19142000</v>
      </c>
      <c r="I688" s="3" t="s">
        <v>7</v>
      </c>
      <c r="J688" s="3" t="s">
        <v>217</v>
      </c>
      <c r="K688" s="3" t="s">
        <v>219</v>
      </c>
      <c r="L688" s="12">
        <v>518820</v>
      </c>
      <c r="M688" s="11">
        <v>2018769</v>
      </c>
    </row>
    <row r="689" spans="1:13">
      <c r="A689" s="15">
        <v>46235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7">
        <f>IFERROR(VLOOKUP(F689,Hoja2!$K$2:$M$1198,2,FALSE),0)</f>
        <v>11001000</v>
      </c>
      <c r="H689" s="17">
        <f>IFERROR(VLOOKUP(F689,Hoja2!$K$2:$M$1198,3,FALSE),0)</f>
        <v>20011000</v>
      </c>
      <c r="I689" s="3" t="s">
        <v>7</v>
      </c>
      <c r="J689" s="3" t="s">
        <v>217</v>
      </c>
      <c r="K689" s="3" t="s">
        <v>219</v>
      </c>
      <c r="L689" s="12">
        <v>1177301</v>
      </c>
      <c r="M689" s="11">
        <v>2617140</v>
      </c>
    </row>
    <row r="690" spans="1:13">
      <c r="A690" s="15">
        <v>46235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7">
        <f>IFERROR(VLOOKUP(F690,Hoja2!$K$2:$M$1198,2,FALSE),0)</f>
        <v>11001000</v>
      </c>
      <c r="H690" s="17">
        <f>IFERROR(VLOOKUP(F690,Hoja2!$K$2:$M$1198,3,FALSE),0)</f>
        <v>17001000</v>
      </c>
      <c r="I690" s="3" t="s">
        <v>7</v>
      </c>
      <c r="J690" s="3" t="s">
        <v>217</v>
      </c>
      <c r="K690" s="3" t="s">
        <v>219</v>
      </c>
      <c r="L690" s="12">
        <v>717506</v>
      </c>
      <c r="M690" s="11">
        <v>1849205</v>
      </c>
    </row>
    <row r="691" spans="1:13">
      <c r="A691" s="15">
        <v>46235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7">
        <f>IFERROR(VLOOKUP(F691,Hoja2!$K$2:$M$1198,2,FALSE),0)</f>
        <v>11001000</v>
      </c>
      <c r="H691" s="17">
        <f>IFERROR(VLOOKUP(F691,Hoja2!$K$2:$M$1198,3,FALSE),0)</f>
        <v>47001000</v>
      </c>
      <c r="I691" s="3" t="s">
        <v>7</v>
      </c>
      <c r="J691" s="3" t="s">
        <v>217</v>
      </c>
      <c r="K691" s="3" t="s">
        <v>219</v>
      </c>
      <c r="L691" s="12">
        <v>710088</v>
      </c>
      <c r="M691" s="11">
        <v>4035044</v>
      </c>
    </row>
    <row r="692" spans="1:13">
      <c r="A692" s="15">
        <v>46235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7">
        <f>IFERROR(VLOOKUP(F692,Hoja2!$K$2:$M$1198,2,FALSE),0)</f>
        <v>11001000</v>
      </c>
      <c r="H692" s="17">
        <f>IFERROR(VLOOKUP(F692,Hoja2!$K$2:$M$1198,3,FALSE),0)</f>
        <v>68077000</v>
      </c>
      <c r="I692" s="3" t="s">
        <v>7</v>
      </c>
      <c r="J692" s="3" t="s">
        <v>217</v>
      </c>
      <c r="K692" s="3" t="s">
        <v>219</v>
      </c>
      <c r="L692" s="12">
        <v>569153</v>
      </c>
      <c r="M692" s="11">
        <v>1128721</v>
      </c>
    </row>
    <row r="693" spans="1:13">
      <c r="A693" s="15">
        <v>46235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7">
        <f>IFERROR(VLOOKUP(F693,Hoja2!$K$2:$M$1198,2,FALSE),0)</f>
        <v>11001000</v>
      </c>
      <c r="H693" s="17">
        <f>IFERROR(VLOOKUP(F693,Hoja2!$K$2:$M$1198,3,FALSE),0)</f>
        <v>20060000</v>
      </c>
      <c r="I693" s="3" t="s">
        <v>7</v>
      </c>
      <c r="J693" s="3" t="s">
        <v>217</v>
      </c>
      <c r="K693" s="3" t="s">
        <v>219</v>
      </c>
      <c r="L693" s="12">
        <v>763627</v>
      </c>
      <c r="M693" s="11">
        <v>3796279</v>
      </c>
    </row>
    <row r="694" spans="1:13">
      <c r="A694" s="15">
        <v>46235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7">
        <f>IFERROR(VLOOKUP(F694,Hoja2!$K$2:$M$1198,2,FALSE),0)</f>
        <v>11001000</v>
      </c>
      <c r="H694" s="17">
        <f>IFERROR(VLOOKUP(F694,Hoja2!$K$2:$M$1198,3,FALSE),0)</f>
        <v>76109000</v>
      </c>
      <c r="I694" s="3" t="s">
        <v>7</v>
      </c>
      <c r="J694" s="3" t="s">
        <v>217</v>
      </c>
      <c r="K694" s="3" t="s">
        <v>219</v>
      </c>
      <c r="L694" s="12">
        <v>847241</v>
      </c>
      <c r="M694" s="11">
        <v>2480456</v>
      </c>
    </row>
    <row r="695" spans="1:13">
      <c r="A695" s="15">
        <v>46235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7">
        <f>IFERROR(VLOOKUP(F695,Hoja2!$K$2:$M$1198,2,FALSE),0)</f>
        <v>11001000</v>
      </c>
      <c r="H695" s="17">
        <f>IFERROR(VLOOKUP(F695,Hoja2!$K$2:$M$1198,3,FALSE),0)</f>
        <v>15176000</v>
      </c>
      <c r="I695" s="3" t="s">
        <v>7</v>
      </c>
      <c r="J695" s="3" t="s">
        <v>217</v>
      </c>
      <c r="K695" s="3" t="s">
        <v>219</v>
      </c>
      <c r="L695" s="12">
        <v>546071</v>
      </c>
      <c r="M695" s="11">
        <v>975577</v>
      </c>
    </row>
    <row r="696" spans="1:13">
      <c r="A696" s="15">
        <v>46235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7">
        <f>IFERROR(VLOOKUP(F696,Hoja2!$K$2:$M$1198,2,FALSE),0)</f>
        <v>11001000</v>
      </c>
      <c r="H696" s="17">
        <f>IFERROR(VLOOKUP(F696,Hoja2!$K$2:$M$1198,3,FALSE),0)</f>
        <v>20001000</v>
      </c>
      <c r="I696" s="3" t="s">
        <v>7</v>
      </c>
      <c r="J696" s="3" t="s">
        <v>217</v>
      </c>
      <c r="K696" s="3" t="s">
        <v>219</v>
      </c>
      <c r="L696" s="12">
        <v>1147731</v>
      </c>
      <c r="M696" s="11">
        <v>4345325</v>
      </c>
    </row>
    <row r="697" spans="1:13">
      <c r="A697" s="15">
        <v>46235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7">
        <f>IFERROR(VLOOKUP(F697,Hoja2!$K$2:$M$1198,2,FALSE),0)</f>
        <v>11001000</v>
      </c>
      <c r="H697" s="17">
        <f>IFERROR(VLOOKUP(F697,Hoja2!$K$2:$M$1198,3,FALSE),0)</f>
        <v>41298000</v>
      </c>
      <c r="I697" s="3" t="s">
        <v>7</v>
      </c>
      <c r="J697" s="3" t="s">
        <v>217</v>
      </c>
      <c r="K697" s="3" t="s">
        <v>219</v>
      </c>
      <c r="L697" s="12">
        <v>1092400</v>
      </c>
      <c r="M697" s="11">
        <v>1911186</v>
      </c>
    </row>
    <row r="698" spans="1:13">
      <c r="A698" s="15">
        <v>46235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7">
        <f>IFERROR(VLOOKUP(F698,Hoja2!$K$2:$M$1198,2,FALSE),0)</f>
        <v>11001000</v>
      </c>
      <c r="H698" s="17">
        <f>IFERROR(VLOOKUP(F698,Hoja2!$K$2:$M$1198,3,FALSE),0)</f>
        <v>17380000</v>
      </c>
      <c r="I698" s="3" t="s">
        <v>7</v>
      </c>
      <c r="J698" s="3" t="s">
        <v>217</v>
      </c>
      <c r="K698" s="3" t="s">
        <v>219</v>
      </c>
      <c r="L698" s="12">
        <v>1041230</v>
      </c>
      <c r="M698" s="11">
        <v>1073429</v>
      </c>
    </row>
    <row r="699" spans="1:13">
      <c r="A699" s="15">
        <v>46235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7">
        <f>IFERROR(VLOOKUP(F699,Hoja2!$K$2:$M$1198,2,FALSE),0)</f>
        <v>11001000</v>
      </c>
      <c r="H699" s="17">
        <f>IFERROR(VLOOKUP(F699,Hoja2!$K$2:$M$1198,3,FALSE),0)</f>
        <v>44430000</v>
      </c>
      <c r="I699" s="3" t="s">
        <v>7</v>
      </c>
      <c r="J699" s="3" t="s">
        <v>217</v>
      </c>
      <c r="K699" s="3" t="s">
        <v>219</v>
      </c>
      <c r="L699" s="12">
        <v>710088</v>
      </c>
      <c r="M699" s="11">
        <v>4470004</v>
      </c>
    </row>
    <row r="700" spans="1:13">
      <c r="A700" s="15">
        <v>46235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7">
        <f>IFERROR(VLOOKUP(F700,Hoja2!$K$2:$M$1198,2,FALSE),0)</f>
        <v>11001000</v>
      </c>
      <c r="H700" s="17">
        <f>IFERROR(VLOOKUP(F700,Hoja2!$K$2:$M$1198,3,FALSE),0)</f>
        <v>73443000</v>
      </c>
      <c r="I700" s="3" t="s">
        <v>7</v>
      </c>
      <c r="J700" s="3" t="s">
        <v>217</v>
      </c>
      <c r="K700" s="3" t="s">
        <v>219</v>
      </c>
      <c r="L700" s="12">
        <v>1151900</v>
      </c>
      <c r="M700" s="11">
        <v>1041462</v>
      </c>
    </row>
    <row r="701" spans="1:13">
      <c r="A701" s="15">
        <v>46235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7">
        <f>IFERROR(VLOOKUP(F701,Hoja2!$K$2:$M$1198,2,FALSE),0)</f>
        <v>11001000</v>
      </c>
      <c r="H701" s="17">
        <f>IFERROR(VLOOKUP(F701,Hoja2!$K$2:$M$1198,3,FALSE),0)</f>
        <v>54498000</v>
      </c>
      <c r="I701" s="3" t="s">
        <v>7</v>
      </c>
      <c r="J701" s="3" t="s">
        <v>217</v>
      </c>
      <c r="K701" s="3" t="s">
        <v>219</v>
      </c>
      <c r="L701" s="12">
        <v>1177301</v>
      </c>
      <c r="M701" s="11">
        <v>2729085</v>
      </c>
    </row>
    <row r="702" spans="1:13">
      <c r="A702" s="15">
        <v>46235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7">
        <f>IFERROR(VLOOKUP(F702,Hoja2!$K$2:$M$1198,2,FALSE),0)</f>
        <v>11001000</v>
      </c>
      <c r="H702" s="17">
        <f>IFERROR(VLOOKUP(F702,Hoja2!$K$2:$M$1198,3,FALSE),0)</f>
        <v>54001000</v>
      </c>
      <c r="I702" s="3" t="s">
        <v>7</v>
      </c>
      <c r="J702" s="3" t="s">
        <v>217</v>
      </c>
      <c r="K702" s="3" t="s">
        <v>219</v>
      </c>
      <c r="L702" s="12">
        <v>1054320</v>
      </c>
      <c r="M702" s="11">
        <v>2209358</v>
      </c>
    </row>
    <row r="703" spans="1:13">
      <c r="A703" s="15">
        <v>46235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7">
        <f>IFERROR(VLOOKUP(F703,Hoja2!$K$2:$M$1198,2,FALSE),0)</f>
        <v>11001000</v>
      </c>
      <c r="H703" s="17">
        <f>IFERROR(VLOOKUP(F703,Hoja2!$K$2:$M$1198,3,FALSE),0)</f>
        <v>5579000</v>
      </c>
      <c r="I703" s="3" t="s">
        <v>7</v>
      </c>
      <c r="J703" s="3" t="s">
        <v>217</v>
      </c>
      <c r="K703" s="3" t="s">
        <v>219</v>
      </c>
      <c r="L703" s="12">
        <v>865859</v>
      </c>
      <c r="M703" s="11">
        <v>1380220</v>
      </c>
    </row>
    <row r="704" spans="1:13">
      <c r="A704" s="15">
        <v>46235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7">
        <f>IFERROR(VLOOKUP(F704,Hoja2!$K$2:$M$1198,2,FALSE),0)</f>
        <v>11001000</v>
      </c>
      <c r="H704" s="17">
        <f>IFERROR(VLOOKUP(F704,Hoja2!$K$2:$M$1198,3,FALSE),0)</f>
        <v>44001000</v>
      </c>
      <c r="I704" s="3" t="s">
        <v>7</v>
      </c>
      <c r="J704" s="3" t="s">
        <v>217</v>
      </c>
      <c r="K704" s="3" t="s">
        <v>219</v>
      </c>
      <c r="L704" s="12">
        <v>673000</v>
      </c>
      <c r="M704" s="11">
        <v>4477485</v>
      </c>
    </row>
    <row r="705" spans="1:13">
      <c r="A705" s="15">
        <v>46235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7">
        <f>IFERROR(VLOOKUP(F705,Hoja2!$K$2:$M$1198,2,FALSE),0)</f>
        <v>11001000</v>
      </c>
      <c r="H705" s="17">
        <f>IFERROR(VLOOKUP(F705,Hoja2!$K$2:$M$1198,3,FALSE),0)</f>
        <v>73671000</v>
      </c>
      <c r="I705" s="3" t="s">
        <v>7</v>
      </c>
      <c r="J705" s="3" t="s">
        <v>217</v>
      </c>
      <c r="K705" s="3" t="s">
        <v>219</v>
      </c>
      <c r="L705" s="12">
        <v>1041230</v>
      </c>
      <c r="M705" s="11">
        <v>954444</v>
      </c>
    </row>
    <row r="706" spans="1:13">
      <c r="A706" s="15">
        <v>46235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7">
        <f>IFERROR(VLOOKUP(F706,Hoja2!$K$2:$M$1198,2,FALSE),0)</f>
        <v>11001000</v>
      </c>
      <c r="H706" s="17">
        <f>IFERROR(VLOOKUP(F706,Hoja2!$K$2:$M$1198,3,FALSE),0)</f>
        <v>5001000</v>
      </c>
      <c r="I706" s="3" t="s">
        <v>7</v>
      </c>
      <c r="J706" s="3" t="s">
        <v>217</v>
      </c>
      <c r="K706" s="3" t="s">
        <v>219</v>
      </c>
      <c r="L706" s="12">
        <v>602280</v>
      </c>
      <c r="M706" s="11">
        <v>2184288</v>
      </c>
    </row>
    <row r="707" spans="1:13">
      <c r="A707" s="15">
        <v>46235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7">
        <f>IFERROR(VLOOKUP(F707,Hoja2!$K$2:$M$1198,2,FALSE),0)</f>
        <v>11001000</v>
      </c>
      <c r="H707" s="17">
        <f>IFERROR(VLOOKUP(F707,Hoja2!$K$2:$M$1198,3,FALSE),0)</f>
        <v>85001000</v>
      </c>
      <c r="I707" s="3" t="s">
        <v>7</v>
      </c>
      <c r="J707" s="3" t="s">
        <v>217</v>
      </c>
      <c r="K707" s="3" t="s">
        <v>219</v>
      </c>
      <c r="L707" s="12">
        <v>560511</v>
      </c>
      <c r="M707" s="11">
        <v>1801812</v>
      </c>
    </row>
    <row r="708" spans="1:13">
      <c r="A708" s="15">
        <v>46235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7">
        <f>IFERROR(VLOOKUP(F708,Hoja2!$K$2:$M$1198,2,FALSE),0)</f>
        <v>11001000</v>
      </c>
      <c r="H708" s="17">
        <f>IFERROR(VLOOKUP(F708,Hoja2!$K$2:$M$1198,3,FALSE),0)</f>
        <v>76895000</v>
      </c>
      <c r="I708" s="3" t="s">
        <v>7</v>
      </c>
      <c r="J708" s="3" t="s">
        <v>217</v>
      </c>
      <c r="K708" s="3" t="s">
        <v>219</v>
      </c>
      <c r="L708" s="12">
        <v>509811</v>
      </c>
      <c r="M708" s="11">
        <v>1647226</v>
      </c>
    </row>
    <row r="709" spans="1:13">
      <c r="A709" s="15">
        <v>46235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7">
        <f>IFERROR(VLOOKUP(F709,Hoja2!$K$2:$M$1198,2,FALSE),0)</f>
        <v>0</v>
      </c>
      <c r="H709" s="17">
        <f>IFERROR(VLOOKUP(F709,Hoja2!$K$2:$M$1198,3,FALSE),0)</f>
        <v>0</v>
      </c>
      <c r="I709" s="3" t="s">
        <v>7</v>
      </c>
      <c r="J709" s="3" t="s">
        <v>217</v>
      </c>
      <c r="K709" s="3" t="s">
        <v>219</v>
      </c>
      <c r="L709" s="12">
        <v>485941</v>
      </c>
      <c r="M709" s="11">
        <v>663325</v>
      </c>
    </row>
    <row r="710" spans="1:13">
      <c r="A710" s="15">
        <v>46235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7">
        <f>IFERROR(VLOOKUP(F710,Hoja2!$K$2:$M$1198,2,FALSE),0)</f>
        <v>0</v>
      </c>
      <c r="H710" s="17">
        <f>IFERROR(VLOOKUP(F710,Hoja2!$K$2:$M$1198,3,FALSE),0)</f>
        <v>0</v>
      </c>
      <c r="I710" s="3" t="s">
        <v>7</v>
      </c>
      <c r="J710" s="3" t="s">
        <v>217</v>
      </c>
      <c r="K710" s="3" t="s">
        <v>219</v>
      </c>
      <c r="L710" s="12">
        <v>417908</v>
      </c>
      <c r="M710" s="11">
        <v>415971</v>
      </c>
    </row>
    <row r="711" spans="1:13">
      <c r="A711" s="15">
        <v>46235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7">
        <f>IFERROR(VLOOKUP(F711,Hoja2!$K$2:$M$1198,2,FALSE),0)</f>
        <v>68081000</v>
      </c>
      <c r="H711" s="17">
        <f>IFERROR(VLOOKUP(F711,Hoja2!$K$2:$M$1198,3,FALSE),0)</f>
        <v>20011000</v>
      </c>
      <c r="I711" s="3" t="s">
        <v>7</v>
      </c>
      <c r="J711" s="3" t="s">
        <v>217</v>
      </c>
      <c r="K711" s="3" t="s">
        <v>219</v>
      </c>
      <c r="L711" s="12">
        <v>1314582</v>
      </c>
      <c r="M711" s="11">
        <v>993884</v>
      </c>
    </row>
    <row r="712" spans="1:13">
      <c r="A712" s="15">
        <v>46235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7">
        <f>IFERROR(VLOOKUP(F712,Hoja2!$K$2:$M$1198,2,FALSE),0)</f>
        <v>68081000</v>
      </c>
      <c r="H712" s="17">
        <f>IFERROR(VLOOKUP(F712,Hoja2!$K$2:$M$1198,3,FALSE),0)</f>
        <v>20001000</v>
      </c>
      <c r="I712" s="3" t="s">
        <v>7</v>
      </c>
      <c r="J712" s="3" t="s">
        <v>217</v>
      </c>
      <c r="K712" s="3" t="s">
        <v>219</v>
      </c>
      <c r="L712" s="12">
        <v>1003981</v>
      </c>
      <c r="M712" s="11">
        <v>1340226</v>
      </c>
    </row>
    <row r="713" spans="1:13">
      <c r="A713" s="15">
        <v>46235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7">
        <f>IFERROR(VLOOKUP(F713,Hoja2!$K$2:$M$1198,2,FALSE),0)</f>
        <v>68081000</v>
      </c>
      <c r="H713" s="17">
        <f>IFERROR(VLOOKUP(F713,Hoja2!$K$2:$M$1198,3,FALSE),0)</f>
        <v>20001000</v>
      </c>
      <c r="I713" s="3" t="s">
        <v>7</v>
      </c>
      <c r="J713" s="3" t="s">
        <v>217</v>
      </c>
      <c r="K713" s="3" t="s">
        <v>219</v>
      </c>
      <c r="L713" s="12">
        <v>1314582</v>
      </c>
      <c r="M713" s="11">
        <v>1103601</v>
      </c>
    </row>
    <row r="714" spans="1:13">
      <c r="A714" s="15">
        <v>46235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7">
        <f>IFERROR(VLOOKUP(F714,Hoja2!$K$2:$M$1198,2,FALSE),0)</f>
        <v>68081000</v>
      </c>
      <c r="H714" s="17">
        <f>IFERROR(VLOOKUP(F714,Hoja2!$K$2:$M$1198,3,FALSE),0)</f>
        <v>5579000</v>
      </c>
      <c r="I714" s="3" t="s">
        <v>7</v>
      </c>
      <c r="J714" s="3" t="s">
        <v>217</v>
      </c>
      <c r="K714" s="3" t="s">
        <v>219</v>
      </c>
      <c r="L714" s="12">
        <v>1003981</v>
      </c>
      <c r="M714" s="11">
        <v>590898</v>
      </c>
    </row>
    <row r="715" spans="1:13">
      <c r="A715" s="15">
        <v>46235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7">
        <f>IFERROR(VLOOKUP(F715,Hoja2!$K$2:$M$1198,2,FALSE),0)</f>
        <v>68081000</v>
      </c>
      <c r="H715" s="17">
        <f>IFERROR(VLOOKUP(F715,Hoja2!$K$2:$M$1198,3,FALSE),0)</f>
        <v>11001000</v>
      </c>
      <c r="I715" s="3" t="s">
        <v>7</v>
      </c>
      <c r="J715" s="3" t="s">
        <v>217</v>
      </c>
      <c r="K715" s="3" t="s">
        <v>219</v>
      </c>
      <c r="L715" s="12">
        <v>683014</v>
      </c>
      <c r="M715" s="11">
        <v>1981968</v>
      </c>
    </row>
    <row r="716" spans="1:13">
      <c r="A716" s="15">
        <v>46235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7">
        <f>IFERROR(VLOOKUP(F716,Hoja2!$K$2:$M$1198,2,FALSE),0)</f>
        <v>54001000</v>
      </c>
      <c r="H716" s="17">
        <f>IFERROR(VLOOKUP(F716,Hoja2!$K$2:$M$1198,3,FALSE),0)</f>
        <v>54498000</v>
      </c>
      <c r="I716" s="3" t="s">
        <v>7</v>
      </c>
      <c r="J716" s="3" t="s">
        <v>217</v>
      </c>
      <c r="K716" s="3" t="s">
        <v>219</v>
      </c>
      <c r="L716" s="12">
        <v>1177321</v>
      </c>
      <c r="M716" s="11">
        <v>1135399</v>
      </c>
    </row>
    <row r="717" spans="1:13">
      <c r="A717" s="15">
        <v>46235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7">
        <f>IFERROR(VLOOKUP(F717,Hoja2!$K$2:$M$1198,2,FALSE),0)</f>
        <v>54001000</v>
      </c>
      <c r="H717" s="17">
        <f>IFERROR(VLOOKUP(F717,Hoja2!$K$2:$M$1198,3,FALSE),0)</f>
        <v>54518000</v>
      </c>
      <c r="I717" s="3" t="s">
        <v>7</v>
      </c>
      <c r="J717" s="3" t="s">
        <v>217</v>
      </c>
      <c r="K717" s="3" t="s">
        <v>219</v>
      </c>
      <c r="L717" s="12">
        <v>1054340</v>
      </c>
      <c r="M717" s="11">
        <v>251335</v>
      </c>
    </row>
    <row r="718" spans="1:13">
      <c r="A718" s="15">
        <v>46235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7">
        <f>IFERROR(VLOOKUP(F718,Hoja2!$K$2:$M$1198,2,FALSE),0)</f>
        <v>0</v>
      </c>
      <c r="H718" s="17">
        <f>IFERROR(VLOOKUP(F718,Hoja2!$K$2:$M$1198,3,FALSE),0)</f>
        <v>0</v>
      </c>
      <c r="I718" s="3" t="s">
        <v>7</v>
      </c>
      <c r="J718" s="3" t="s">
        <v>217</v>
      </c>
      <c r="K718" s="3" t="s">
        <v>219</v>
      </c>
      <c r="L718" s="12">
        <v>417928</v>
      </c>
      <c r="M718" s="11">
        <v>2829557</v>
      </c>
    </row>
    <row r="719" spans="1:13">
      <c r="A719" s="15">
        <v>46235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7">
        <f>IFERROR(VLOOKUP(F719,Hoja2!$K$2:$M$1198,2,FALSE),0)</f>
        <v>54001000</v>
      </c>
      <c r="H719" s="17">
        <f>IFERROR(VLOOKUP(F719,Hoja2!$K$2:$M$1198,3,FALSE),0)</f>
        <v>8433000</v>
      </c>
      <c r="I719" s="3" t="s">
        <v>7</v>
      </c>
      <c r="J719" s="3" t="s">
        <v>217</v>
      </c>
      <c r="K719" s="3" t="s">
        <v>219</v>
      </c>
      <c r="L719" s="12">
        <v>518840</v>
      </c>
      <c r="M719" s="11">
        <v>2927027</v>
      </c>
    </row>
    <row r="720" spans="1:13">
      <c r="A720" s="15">
        <v>46235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7">
        <f>IFERROR(VLOOKUP(F720,Hoja2!$K$2:$M$1198,2,FALSE),0)</f>
        <v>15238000</v>
      </c>
      <c r="H720" s="17">
        <f>IFERROR(VLOOKUP(F720,Hoja2!$K$2:$M$1198,3,FALSE),0)</f>
        <v>76001000</v>
      </c>
      <c r="I720" s="3" t="s">
        <v>7</v>
      </c>
      <c r="J720" s="3" t="s">
        <v>217</v>
      </c>
      <c r="K720" s="3" t="s">
        <v>219</v>
      </c>
      <c r="L720" s="12">
        <v>493969</v>
      </c>
      <c r="M720" s="11">
        <v>2971691</v>
      </c>
    </row>
    <row r="721" spans="1:13">
      <c r="A721" s="15">
        <v>46235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7">
        <f>IFERROR(VLOOKUP(F721,Hoja2!$K$2:$M$1198,2,FALSE),0)</f>
        <v>15238000</v>
      </c>
      <c r="H721" s="17">
        <f>IFERROR(VLOOKUP(F721,Hoja2!$K$2:$M$1198,3,FALSE),0)</f>
        <v>17001000</v>
      </c>
      <c r="I721" s="3" t="s">
        <v>7</v>
      </c>
      <c r="J721" s="3" t="s">
        <v>217</v>
      </c>
      <c r="K721" s="3" t="s">
        <v>219</v>
      </c>
      <c r="L721" s="12">
        <v>677456</v>
      </c>
      <c r="M721" s="11">
        <v>2581615</v>
      </c>
    </row>
    <row r="722" spans="1:13">
      <c r="A722" s="15">
        <v>46235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7">
        <f>IFERROR(VLOOKUP(F722,Hoja2!$K$2:$M$1198,2,FALSE),0)</f>
        <v>15238000</v>
      </c>
      <c r="H722" s="17">
        <f>IFERROR(VLOOKUP(F722,Hoja2!$K$2:$M$1198,3,FALSE),0)</f>
        <v>47001000</v>
      </c>
      <c r="I722" s="3" t="s">
        <v>7</v>
      </c>
      <c r="J722" s="3" t="s">
        <v>217</v>
      </c>
      <c r="K722" s="3" t="s">
        <v>219</v>
      </c>
      <c r="L722" s="12">
        <v>670074</v>
      </c>
      <c r="M722" s="11">
        <v>3775712</v>
      </c>
    </row>
    <row r="723" spans="1:13">
      <c r="A723" s="15">
        <v>46235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7">
        <f>IFERROR(VLOOKUP(F723,Hoja2!$K$2:$M$1198,2,FALSE),0)</f>
        <v>15238000</v>
      </c>
      <c r="H723" s="17">
        <f>IFERROR(VLOOKUP(F723,Hoja2!$K$2:$M$1198,3,FALSE),0)</f>
        <v>11001000</v>
      </c>
      <c r="I723" s="3" t="s">
        <v>7</v>
      </c>
      <c r="J723" s="3" t="s">
        <v>217</v>
      </c>
      <c r="K723" s="3" t="s">
        <v>219</v>
      </c>
      <c r="L723" s="12">
        <v>1015979</v>
      </c>
      <c r="M723" s="11">
        <v>1427606</v>
      </c>
    </row>
    <row r="724" spans="1:13">
      <c r="A724" s="15">
        <v>46235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7">
        <f>IFERROR(VLOOKUP(F724,Hoja2!$K$2:$M$1198,2,FALSE),0)</f>
        <v>15238000</v>
      </c>
      <c r="H724" s="17">
        <f>IFERROR(VLOOKUP(F724,Hoja2!$K$2:$M$1198,3,FALSE),0)</f>
        <v>23001000</v>
      </c>
      <c r="I724" s="3" t="s">
        <v>7</v>
      </c>
      <c r="J724" s="3" t="s">
        <v>217</v>
      </c>
      <c r="K724" s="3" t="s">
        <v>219</v>
      </c>
      <c r="L724" s="12">
        <v>756840</v>
      </c>
      <c r="M724" s="11">
        <v>3932807</v>
      </c>
    </row>
    <row r="725" spans="1:13">
      <c r="A725" s="15">
        <v>46235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7">
        <f>IFERROR(VLOOKUP(F725,Hoja2!$K$2:$M$1198,2,FALSE),0)</f>
        <v>15238000</v>
      </c>
      <c r="H725" s="17">
        <f>IFERROR(VLOOKUP(F725,Hoja2!$K$2:$M$1198,3,FALSE),0)</f>
        <v>11001000</v>
      </c>
      <c r="I725" s="3" t="s">
        <v>7</v>
      </c>
      <c r="J725" s="3" t="s">
        <v>217</v>
      </c>
      <c r="K725" s="3" t="s">
        <v>219</v>
      </c>
      <c r="L725" s="12">
        <v>1015979</v>
      </c>
      <c r="M725" s="11">
        <v>1527534</v>
      </c>
    </row>
    <row r="726" spans="1:13">
      <c r="A726" s="15">
        <v>46235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7">
        <f>IFERROR(VLOOKUP(F726,Hoja2!$K$2:$M$1198,2,FALSE),0)</f>
        <v>15238000</v>
      </c>
      <c r="H726" s="17">
        <f>IFERROR(VLOOKUP(F726,Hoja2!$K$2:$M$1198,3,FALSE),0)</f>
        <v>11001000</v>
      </c>
      <c r="I726" s="3" t="s">
        <v>7</v>
      </c>
      <c r="J726" s="3" t="s">
        <v>217</v>
      </c>
      <c r="K726" s="3" t="s">
        <v>219</v>
      </c>
      <c r="L726" s="12">
        <v>459895</v>
      </c>
      <c r="M726" s="11">
        <v>951493</v>
      </c>
    </row>
    <row r="727" spans="1:13">
      <c r="A727" s="15">
        <v>46235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7">
        <f>IFERROR(VLOOKUP(F727,Hoja2!$K$2:$M$1198,2,FALSE),0)</f>
        <v>15238000</v>
      </c>
      <c r="H727" s="17">
        <f>IFERROR(VLOOKUP(F727,Hoja2!$K$2:$M$1198,3,FALSE),0)</f>
        <v>52356000</v>
      </c>
      <c r="I727" s="3" t="s">
        <v>7</v>
      </c>
      <c r="J727" s="3" t="s">
        <v>217</v>
      </c>
      <c r="K727" s="3" t="s">
        <v>219</v>
      </c>
      <c r="L727" s="12">
        <v>564221</v>
      </c>
      <c r="M727" s="11">
        <v>5129398</v>
      </c>
    </row>
    <row r="728" spans="1:13">
      <c r="A728" s="15">
        <v>46235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7">
        <f>IFERROR(VLOOKUP(F728,Hoja2!$K$2:$M$1198,2,FALSE),0)</f>
        <v>15238000</v>
      </c>
      <c r="H728" s="17">
        <f>IFERROR(VLOOKUP(F728,Hoja2!$K$2:$M$1198,3,FALSE),0)</f>
        <v>11001000</v>
      </c>
      <c r="I728" s="3" t="s">
        <v>7</v>
      </c>
      <c r="J728" s="3" t="s">
        <v>217</v>
      </c>
      <c r="K728" s="3" t="s">
        <v>219</v>
      </c>
      <c r="L728" s="12">
        <v>1016379</v>
      </c>
      <c r="M728" s="11">
        <v>1809308</v>
      </c>
    </row>
    <row r="729" spans="1:13">
      <c r="A729" s="15">
        <v>46235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7">
        <f>IFERROR(VLOOKUP(F729,Hoja2!$K$2:$M$1198,2,FALSE),0)</f>
        <v>15238000</v>
      </c>
      <c r="H729" s="17">
        <f>IFERROR(VLOOKUP(F729,Hoja2!$K$2:$M$1198,3,FALSE),0)</f>
        <v>11001000</v>
      </c>
      <c r="I729" s="3" t="s">
        <v>7</v>
      </c>
      <c r="J729" s="3" t="s">
        <v>217</v>
      </c>
      <c r="K729" s="3" t="s">
        <v>219</v>
      </c>
      <c r="L729" s="12">
        <v>1016379</v>
      </c>
      <c r="M729" s="11">
        <v>1507586</v>
      </c>
    </row>
    <row r="730" spans="1:13">
      <c r="A730" s="15">
        <v>46235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7">
        <f>IFERROR(VLOOKUP(F730,Hoja2!$K$2:$M$1198,2,FALSE),0)</f>
        <v>15238000</v>
      </c>
      <c r="H730" s="17">
        <f>IFERROR(VLOOKUP(F730,Hoja2!$K$2:$M$1198,3,FALSE),0)</f>
        <v>70001000</v>
      </c>
      <c r="I730" s="3" t="s">
        <v>7</v>
      </c>
      <c r="J730" s="3" t="s">
        <v>217</v>
      </c>
      <c r="K730" s="3" t="s">
        <v>219</v>
      </c>
      <c r="L730" s="12">
        <v>670074</v>
      </c>
      <c r="M730" s="11">
        <v>3039017</v>
      </c>
    </row>
    <row r="731" spans="1:13">
      <c r="A731" s="15">
        <v>46235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7">
        <f>IFERROR(VLOOKUP(F731,Hoja2!$K$2:$M$1198,2,FALSE),0)</f>
        <v>15238000</v>
      </c>
      <c r="H731" s="17">
        <f>IFERROR(VLOOKUP(F731,Hoja2!$K$2:$M$1198,3,FALSE),0)</f>
        <v>44001000</v>
      </c>
      <c r="I731" s="3" t="s">
        <v>7</v>
      </c>
      <c r="J731" s="3" t="s">
        <v>217</v>
      </c>
      <c r="K731" s="3" t="s">
        <v>219</v>
      </c>
      <c r="L731" s="12">
        <v>670074</v>
      </c>
      <c r="M731" s="11">
        <v>4170775</v>
      </c>
    </row>
    <row r="732" spans="1:13">
      <c r="A732" s="15">
        <v>46235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7">
        <f>IFERROR(VLOOKUP(F732,Hoja2!$K$2:$M$1198,2,FALSE),0)</f>
        <v>15238000</v>
      </c>
      <c r="H732" s="17">
        <f>IFERROR(VLOOKUP(F732,Hoja2!$K$2:$M$1198,3,FALSE),0)</f>
        <v>73001000</v>
      </c>
      <c r="I732" s="3" t="s">
        <v>7</v>
      </c>
      <c r="J732" s="3" t="s">
        <v>217</v>
      </c>
      <c r="K732" s="3" t="s">
        <v>219</v>
      </c>
      <c r="L732" s="12">
        <v>1127049</v>
      </c>
      <c r="M732" s="11">
        <v>1759437</v>
      </c>
    </row>
    <row r="733" spans="1:13">
      <c r="A733" s="15">
        <v>46235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7">
        <f>IFERROR(VLOOKUP(F733,Hoja2!$K$2:$M$1198,2,FALSE),0)</f>
        <v>15238000</v>
      </c>
      <c r="H733" s="17">
        <f>IFERROR(VLOOKUP(F733,Hoja2!$K$2:$M$1198,3,FALSE),0)</f>
        <v>20001000</v>
      </c>
      <c r="I733" s="3" t="s">
        <v>7</v>
      </c>
      <c r="J733" s="3" t="s">
        <v>217</v>
      </c>
      <c r="K733" s="3" t="s">
        <v>219</v>
      </c>
      <c r="L733" s="12">
        <v>1152450</v>
      </c>
      <c r="M733" s="11">
        <v>2519276</v>
      </c>
    </row>
    <row r="734" spans="1:13">
      <c r="A734" s="15">
        <v>46235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7">
        <f>IFERROR(VLOOKUP(F734,Hoja2!$K$2:$M$1198,2,FALSE),0)</f>
        <v>15238000</v>
      </c>
      <c r="H734" s="17">
        <f>IFERROR(VLOOKUP(F734,Hoja2!$K$2:$M$1198,3,FALSE),0)</f>
        <v>54001000</v>
      </c>
      <c r="I734" s="3" t="s">
        <v>7</v>
      </c>
      <c r="J734" s="3" t="s">
        <v>217</v>
      </c>
      <c r="K734" s="3" t="s">
        <v>219</v>
      </c>
      <c r="L734" s="12">
        <v>1029469</v>
      </c>
      <c r="M734" s="11">
        <v>2074705</v>
      </c>
    </row>
    <row r="735" spans="1:13">
      <c r="A735" s="15">
        <v>46235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7">
        <f>IFERROR(VLOOKUP(F735,Hoja2!$K$2:$M$1198,2,FALSE),0)</f>
        <v>15238000</v>
      </c>
      <c r="H735" s="17">
        <f>IFERROR(VLOOKUP(F735,Hoja2!$K$2:$M$1198,3,FALSE),0)</f>
        <v>68001000</v>
      </c>
      <c r="I735" s="3" t="s">
        <v>7</v>
      </c>
      <c r="J735" s="3" t="s">
        <v>217</v>
      </c>
      <c r="K735" s="3" t="s">
        <v>219</v>
      </c>
      <c r="L735" s="12">
        <v>956992</v>
      </c>
      <c r="M735" s="11">
        <v>1174327</v>
      </c>
    </row>
    <row r="736" spans="1:13">
      <c r="A736" s="15">
        <v>46235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7">
        <f>IFERROR(VLOOKUP(F736,Hoja2!$K$2:$M$1198,2,FALSE),0)</f>
        <v>15238000</v>
      </c>
      <c r="H736" s="17">
        <f>IFERROR(VLOOKUP(F736,Hoja2!$K$2:$M$1198,3,FALSE),0)</f>
        <v>5001000</v>
      </c>
      <c r="I736" s="3" t="s">
        <v>7</v>
      </c>
      <c r="J736" s="3" t="s">
        <v>217</v>
      </c>
      <c r="K736" s="3" t="s">
        <v>219</v>
      </c>
      <c r="L736" s="12">
        <v>815943</v>
      </c>
      <c r="M736" s="11">
        <v>2432001</v>
      </c>
    </row>
    <row r="737" spans="1:13">
      <c r="A737" s="15">
        <v>46235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7">
        <f>IFERROR(VLOOKUP(F737,Hoja2!$K$2:$M$1198,2,FALSE),0)</f>
        <v>15238000</v>
      </c>
      <c r="H737" s="17">
        <f>IFERROR(VLOOKUP(F737,Hoja2!$K$2:$M$1198,3,FALSE),0)</f>
        <v>44001000</v>
      </c>
      <c r="I737" s="3" t="s">
        <v>7</v>
      </c>
      <c r="J737" s="3" t="s">
        <v>217</v>
      </c>
      <c r="K737" s="3" t="s">
        <v>219</v>
      </c>
      <c r="L737" s="12">
        <v>633165</v>
      </c>
      <c r="M737" s="11">
        <v>4205685</v>
      </c>
    </row>
    <row r="738" spans="1:13">
      <c r="A738" s="15">
        <v>46235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7">
        <f>IFERROR(VLOOKUP(F738,Hoja2!$K$2:$M$1198,2,FALSE),0)</f>
        <v>15238000</v>
      </c>
      <c r="H738" s="17">
        <f>IFERROR(VLOOKUP(F738,Hoja2!$K$2:$M$1198,3,FALSE),0)</f>
        <v>70001000</v>
      </c>
      <c r="I738" s="3" t="s">
        <v>7</v>
      </c>
      <c r="J738" s="3" t="s">
        <v>217</v>
      </c>
      <c r="K738" s="3" t="s">
        <v>219</v>
      </c>
      <c r="L738" s="12">
        <v>756840</v>
      </c>
      <c r="M738" s="11">
        <v>4369183</v>
      </c>
    </row>
    <row r="739" spans="1:13">
      <c r="A739" s="15">
        <v>46235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7">
        <f>IFERROR(VLOOKUP(F739,Hoja2!$K$2:$M$1198,2,FALSE),0)</f>
        <v>15238000</v>
      </c>
      <c r="H739" s="17">
        <f>IFERROR(VLOOKUP(F739,Hoja2!$K$2:$M$1198,3,FALSE),0)</f>
        <v>11001000</v>
      </c>
      <c r="I739" s="3" t="s">
        <v>7</v>
      </c>
      <c r="J739" s="3" t="s">
        <v>217</v>
      </c>
      <c r="K739" s="3" t="s">
        <v>219</v>
      </c>
      <c r="L739" s="12">
        <v>1016379</v>
      </c>
      <c r="M739" s="11">
        <v>1549976</v>
      </c>
    </row>
    <row r="740" spans="1:13">
      <c r="A740" s="15">
        <v>46235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7">
        <f>IFERROR(VLOOKUP(F740,Hoja2!$K$2:$M$1198,2,FALSE),0)</f>
        <v>15238000</v>
      </c>
      <c r="H740" s="17">
        <f>IFERROR(VLOOKUP(F740,Hoja2!$K$2:$M$1198,3,FALSE),0)</f>
        <v>11001000</v>
      </c>
      <c r="I740" s="3" t="s">
        <v>7</v>
      </c>
      <c r="J740" s="3" t="s">
        <v>217</v>
      </c>
      <c r="K740" s="3" t="s">
        <v>219</v>
      </c>
      <c r="L740" s="12">
        <v>469098</v>
      </c>
      <c r="M740" s="11">
        <v>1039947</v>
      </c>
    </row>
    <row r="741" spans="1:13">
      <c r="A741" s="15">
        <v>46235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7">
        <f>IFERROR(VLOOKUP(F741,Hoja2!$K$2:$M$1198,2,FALSE),0)</f>
        <v>0</v>
      </c>
      <c r="H741" s="17">
        <f>IFERROR(VLOOKUP(F741,Hoja2!$K$2:$M$1198,3,FALSE),0)</f>
        <v>0</v>
      </c>
      <c r="I741" s="3" t="s">
        <v>7</v>
      </c>
      <c r="J741" s="3" t="s">
        <v>217</v>
      </c>
      <c r="K741" s="3" t="s">
        <v>219</v>
      </c>
      <c r="L741" s="12">
        <v>393057</v>
      </c>
      <c r="M741" s="11">
        <v>941518</v>
      </c>
    </row>
    <row r="742" spans="1:13">
      <c r="A742" s="15">
        <v>46235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7">
        <f>IFERROR(VLOOKUP(F742,Hoja2!$K$2:$M$1198,2,FALSE),0)</f>
        <v>15238000</v>
      </c>
      <c r="H742" s="17">
        <f>IFERROR(VLOOKUP(F742,Hoja2!$K$2:$M$1198,3,FALSE),0)</f>
        <v>5001000</v>
      </c>
      <c r="I742" s="3" t="s">
        <v>7</v>
      </c>
      <c r="J742" s="3" t="s">
        <v>217</v>
      </c>
      <c r="K742" s="3" t="s">
        <v>219</v>
      </c>
      <c r="L742" s="12">
        <v>493969</v>
      </c>
      <c r="M742" s="11">
        <v>2673170</v>
      </c>
    </row>
    <row r="743" spans="1:13">
      <c r="A743" s="15">
        <v>46235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7">
        <f>IFERROR(VLOOKUP(F743,Hoja2!$K$2:$M$1198,2,FALSE),0)</f>
        <v>15238000</v>
      </c>
      <c r="H743" s="17">
        <f>IFERROR(VLOOKUP(F743,Hoja2!$K$2:$M$1198,3,FALSE),0)</f>
        <v>66001000</v>
      </c>
      <c r="I743" s="3" t="s">
        <v>7</v>
      </c>
      <c r="J743" s="3" t="s">
        <v>217</v>
      </c>
      <c r="K743" s="3" t="s">
        <v>219</v>
      </c>
      <c r="L743" s="12">
        <v>594549</v>
      </c>
      <c r="M743" s="11">
        <v>2419533</v>
      </c>
    </row>
    <row r="744" spans="1:13">
      <c r="A744" s="15">
        <v>46235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7">
        <f>IFERROR(VLOOKUP(F744,Hoja2!$K$2:$M$1198,2,FALSE),0)</f>
        <v>68001000</v>
      </c>
      <c r="H744" s="17">
        <f>IFERROR(VLOOKUP(F744,Hoja2!$K$2:$M$1198,3,FALSE),0)</f>
        <v>19142000</v>
      </c>
      <c r="I744" s="3" t="s">
        <v>7</v>
      </c>
      <c r="J744" s="3" t="s">
        <v>217</v>
      </c>
      <c r="K744" s="3" t="s">
        <v>219</v>
      </c>
      <c r="L744" s="12">
        <v>518840</v>
      </c>
      <c r="M744" s="11">
        <v>3755764</v>
      </c>
    </row>
    <row r="745" spans="1:13">
      <c r="A745" s="15">
        <v>46235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7">
        <f>IFERROR(VLOOKUP(F745,Hoja2!$K$2:$M$1198,2,FALSE),0)</f>
        <v>68001000</v>
      </c>
      <c r="H745" s="17">
        <f>IFERROR(VLOOKUP(F745,Hoja2!$K$2:$M$1198,3,FALSE),0)</f>
        <v>17001000</v>
      </c>
      <c r="I745" s="3" t="s">
        <v>7</v>
      </c>
      <c r="J745" s="3" t="s">
        <v>217</v>
      </c>
      <c r="K745" s="3" t="s">
        <v>219</v>
      </c>
      <c r="L745" s="12">
        <v>702327</v>
      </c>
      <c r="M745" s="11">
        <v>2727320</v>
      </c>
    </row>
    <row r="746" spans="1:13">
      <c r="A746" s="15">
        <v>46235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7">
        <f>IFERROR(VLOOKUP(F746,Hoja2!$K$2:$M$1198,2,FALSE),0)</f>
        <v>68001000</v>
      </c>
      <c r="H746" s="17">
        <f>IFERROR(VLOOKUP(F746,Hoja2!$K$2:$M$1198,3,FALSE),0)</f>
        <v>47001000</v>
      </c>
      <c r="I746" s="3" t="s">
        <v>7</v>
      </c>
      <c r="J746" s="3" t="s">
        <v>217</v>
      </c>
      <c r="K746" s="3" t="s">
        <v>219</v>
      </c>
      <c r="L746" s="12">
        <v>694945</v>
      </c>
      <c r="M746" s="11">
        <v>2063653</v>
      </c>
    </row>
    <row r="747" spans="1:13">
      <c r="A747" s="15">
        <v>46235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7">
        <f>IFERROR(VLOOKUP(F747,Hoja2!$K$2:$M$1198,2,FALSE),0)</f>
        <v>68001000</v>
      </c>
      <c r="H747" s="17">
        <f>IFERROR(VLOOKUP(F747,Hoja2!$K$2:$M$1198,3,FALSE),0)</f>
        <v>63001000</v>
      </c>
      <c r="I747" s="3" t="s">
        <v>7</v>
      </c>
      <c r="J747" s="3" t="s">
        <v>217</v>
      </c>
      <c r="K747" s="3" t="s">
        <v>219</v>
      </c>
      <c r="L747" s="12">
        <v>747542</v>
      </c>
      <c r="M747" s="11">
        <v>2777192</v>
      </c>
    </row>
    <row r="748" spans="1:13">
      <c r="A748" s="15">
        <v>46235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7">
        <f>IFERROR(VLOOKUP(F748,Hoja2!$K$2:$M$1198,2,FALSE),0)</f>
        <v>68001000</v>
      </c>
      <c r="H748" s="17">
        <f>IFERROR(VLOOKUP(F748,Hoja2!$K$2:$M$1198,3,FALSE),0)</f>
        <v>68077000</v>
      </c>
      <c r="I748" s="3" t="s">
        <v>7</v>
      </c>
      <c r="J748" s="3" t="s">
        <v>217</v>
      </c>
      <c r="K748" s="3" t="s">
        <v>219</v>
      </c>
      <c r="L748" s="12">
        <v>546091</v>
      </c>
      <c r="M748" s="11">
        <v>1034674</v>
      </c>
    </row>
    <row r="749" spans="1:13">
      <c r="A749" s="15">
        <v>46235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7">
        <f>IFERROR(VLOOKUP(F749,Hoja2!$K$2:$M$1198,2,FALSE),0)</f>
        <v>68001000</v>
      </c>
      <c r="H749" s="17">
        <f>IFERROR(VLOOKUP(F749,Hoja2!$K$2:$M$1198,3,FALSE),0)</f>
        <v>76109000</v>
      </c>
      <c r="I749" s="3" t="s">
        <v>7</v>
      </c>
      <c r="J749" s="3" t="s">
        <v>217</v>
      </c>
      <c r="K749" s="3" t="s">
        <v>219</v>
      </c>
      <c r="L749" s="12">
        <v>788265</v>
      </c>
      <c r="M749" s="11">
        <v>3828078</v>
      </c>
    </row>
    <row r="750" spans="1:13">
      <c r="A750" s="15">
        <v>46235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7">
        <f>IFERROR(VLOOKUP(F750,Hoja2!$K$2:$M$1198,2,FALSE),0)</f>
        <v>68001000</v>
      </c>
      <c r="H750" s="17">
        <f>IFERROR(VLOOKUP(F750,Hoja2!$K$2:$M$1198,3,FALSE),0)</f>
        <v>76111000</v>
      </c>
      <c r="I750" s="3" t="s">
        <v>7</v>
      </c>
      <c r="J750" s="3" t="s">
        <v>217</v>
      </c>
      <c r="K750" s="3" t="s">
        <v>219</v>
      </c>
      <c r="L750" s="12">
        <v>694139</v>
      </c>
      <c r="M750" s="11">
        <v>3031537</v>
      </c>
    </row>
    <row r="751" spans="1:13">
      <c r="A751" s="15">
        <v>46235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7">
        <f>IFERROR(VLOOKUP(F751,Hoja2!$K$2:$M$1198,2,FALSE),0)</f>
        <v>68547000</v>
      </c>
      <c r="H751" s="17">
        <f>IFERROR(VLOOKUP(F751,Hoja2!$K$2:$M$1198,3,FALSE),0)</f>
        <v>11001000</v>
      </c>
      <c r="I751" s="3" t="s">
        <v>7</v>
      </c>
      <c r="J751" s="3" t="s">
        <v>217</v>
      </c>
      <c r="K751" s="3" t="s">
        <v>219</v>
      </c>
      <c r="L751" s="12">
        <v>1040850</v>
      </c>
      <c r="M751" s="11">
        <v>1971391</v>
      </c>
    </row>
    <row r="752" spans="1:13">
      <c r="A752" s="15">
        <v>46235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7">
        <f>IFERROR(VLOOKUP(F752,Hoja2!$K$2:$M$1198,2,FALSE),0)</f>
        <v>68547000</v>
      </c>
      <c r="H752" s="17">
        <f>IFERROR(VLOOKUP(F752,Hoja2!$K$2:$M$1198,3,FALSE),0)</f>
        <v>5001000</v>
      </c>
      <c r="I752" s="3" t="s">
        <v>7</v>
      </c>
      <c r="J752" s="3" t="s">
        <v>217</v>
      </c>
      <c r="K752" s="3" t="s">
        <v>219</v>
      </c>
      <c r="L752" s="12">
        <v>609820</v>
      </c>
      <c r="M752" s="11">
        <v>2929300</v>
      </c>
    </row>
    <row r="753" spans="1:13">
      <c r="A753" s="15">
        <v>46235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7">
        <f>IFERROR(VLOOKUP(F753,Hoja2!$K$2:$M$1198,2,FALSE),0)</f>
        <v>68001000</v>
      </c>
      <c r="H753" s="17">
        <f>IFERROR(VLOOKUP(F753,Hoja2!$K$2:$M$1198,3,FALSE),0)</f>
        <v>20001000</v>
      </c>
      <c r="I753" s="3" t="s">
        <v>7</v>
      </c>
      <c r="J753" s="3" t="s">
        <v>217</v>
      </c>
      <c r="K753" s="3" t="s">
        <v>219</v>
      </c>
      <c r="L753" s="12">
        <v>806884</v>
      </c>
      <c r="M753" s="11">
        <v>1265683</v>
      </c>
    </row>
    <row r="754" spans="1:13">
      <c r="A754" s="15">
        <v>46235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7">
        <f>IFERROR(VLOOKUP(F754,Hoja2!$K$2:$M$1198,2,FALSE),0)</f>
        <v>68001000</v>
      </c>
      <c r="H754" s="17">
        <f>IFERROR(VLOOKUP(F754,Hoja2!$K$2:$M$1198,3,FALSE),0)</f>
        <v>20001000</v>
      </c>
      <c r="I754" s="3" t="s">
        <v>7</v>
      </c>
      <c r="J754" s="3" t="s">
        <v>217</v>
      </c>
      <c r="K754" s="3" t="s">
        <v>219</v>
      </c>
      <c r="L754" s="12">
        <v>1130470</v>
      </c>
      <c r="M754" s="11">
        <v>2557757</v>
      </c>
    </row>
    <row r="755" spans="1:13">
      <c r="A755" s="15">
        <v>46235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7">
        <f>IFERROR(VLOOKUP(F755,Hoja2!$K$2:$M$1198,2,FALSE),0)</f>
        <v>68547000</v>
      </c>
      <c r="H755" s="17">
        <f>IFERROR(VLOOKUP(F755,Hoja2!$K$2:$M$1198,3,FALSE),0)</f>
        <v>11001000</v>
      </c>
      <c r="I755" s="3" t="s">
        <v>7</v>
      </c>
      <c r="J755" s="3" t="s">
        <v>217</v>
      </c>
      <c r="K755" s="3" t="s">
        <v>219</v>
      </c>
      <c r="L755" s="12">
        <v>1040850</v>
      </c>
      <c r="M755" s="11">
        <v>2109615</v>
      </c>
    </row>
    <row r="756" spans="1:13">
      <c r="A756" s="15">
        <v>46235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7">
        <f>IFERROR(VLOOKUP(F756,Hoja2!$K$2:$M$1198,2,FALSE),0)</f>
        <v>68001000</v>
      </c>
      <c r="H756" s="17">
        <f>IFERROR(VLOOKUP(F756,Hoja2!$K$2:$M$1198,3,FALSE),0)</f>
        <v>41001000</v>
      </c>
      <c r="I756" s="3" t="s">
        <v>7</v>
      </c>
      <c r="J756" s="3" t="s">
        <v>217</v>
      </c>
      <c r="K756" s="3" t="s">
        <v>219</v>
      </c>
      <c r="L756" s="12">
        <v>1092420</v>
      </c>
      <c r="M756" s="11">
        <v>3801816</v>
      </c>
    </row>
    <row r="757" spans="1:13">
      <c r="A757" s="15">
        <v>46235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7">
        <f>IFERROR(VLOOKUP(F757,Hoja2!$K$2:$M$1198,2,FALSE),0)</f>
        <v>68547000</v>
      </c>
      <c r="H757" s="17">
        <f>IFERROR(VLOOKUP(F757,Hoja2!$K$2:$M$1198,3,FALSE),0)</f>
        <v>11001000</v>
      </c>
      <c r="I757" s="3" t="s">
        <v>7</v>
      </c>
      <c r="J757" s="3" t="s">
        <v>217</v>
      </c>
      <c r="K757" s="3" t="s">
        <v>219</v>
      </c>
      <c r="L757" s="12">
        <v>450836</v>
      </c>
      <c r="M757" s="11">
        <v>1839231</v>
      </c>
    </row>
    <row r="758" spans="1:13">
      <c r="A758" s="15">
        <v>46235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7">
        <f>IFERROR(VLOOKUP(F758,Hoja2!$K$2:$M$1198,2,FALSE),0)</f>
        <v>68001000</v>
      </c>
      <c r="H758" s="17">
        <f>IFERROR(VLOOKUP(F758,Hoja2!$K$2:$M$1198,3,FALSE),0)</f>
        <v>52356000</v>
      </c>
      <c r="I758" s="3" t="s">
        <v>7</v>
      </c>
      <c r="J758" s="3" t="s">
        <v>217</v>
      </c>
      <c r="K758" s="3" t="s">
        <v>219</v>
      </c>
      <c r="L758" s="12">
        <v>589092</v>
      </c>
      <c r="M758" s="11">
        <v>5458550</v>
      </c>
    </row>
    <row r="759" spans="1:13">
      <c r="A759" s="15">
        <v>46235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7">
        <f>IFERROR(VLOOKUP(F759,Hoja2!$K$2:$M$1198,2,FALSE),0)</f>
        <v>68547000</v>
      </c>
      <c r="H759" s="17">
        <f>IFERROR(VLOOKUP(F759,Hoja2!$K$2:$M$1198,3,FALSE),0)</f>
        <v>5001000</v>
      </c>
      <c r="I759" s="3" t="s">
        <v>7</v>
      </c>
      <c r="J759" s="3" t="s">
        <v>217</v>
      </c>
      <c r="K759" s="3" t="s">
        <v>219</v>
      </c>
      <c r="L759" s="12">
        <v>518840</v>
      </c>
      <c r="M759" s="11">
        <v>1893437</v>
      </c>
    </row>
    <row r="760" spans="1:13">
      <c r="A760" s="15">
        <v>46235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7">
        <f>IFERROR(VLOOKUP(F760,Hoja2!$K$2:$M$1198,2,FALSE),0)</f>
        <v>68001000</v>
      </c>
      <c r="H760" s="17">
        <f>IFERROR(VLOOKUP(F760,Hoja2!$K$2:$M$1198,3,FALSE),0)</f>
        <v>76001000</v>
      </c>
      <c r="I760" s="3" t="s">
        <v>7</v>
      </c>
      <c r="J760" s="3" t="s">
        <v>217</v>
      </c>
      <c r="K760" s="3" t="s">
        <v>219</v>
      </c>
      <c r="L760" s="12">
        <v>572418</v>
      </c>
      <c r="M760" s="11">
        <v>3755764</v>
      </c>
    </row>
    <row r="761" spans="1:13">
      <c r="A761" s="15">
        <v>46235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7">
        <f>IFERROR(VLOOKUP(F761,Hoja2!$K$2:$M$1198,2,FALSE),0)</f>
        <v>68547000</v>
      </c>
      <c r="H761" s="17">
        <f>IFERROR(VLOOKUP(F761,Hoja2!$K$2:$M$1198,3,FALSE),0)</f>
        <v>11001000</v>
      </c>
      <c r="I761" s="3" t="s">
        <v>7</v>
      </c>
      <c r="J761" s="3" t="s">
        <v>217</v>
      </c>
      <c r="K761" s="3" t="s">
        <v>219</v>
      </c>
      <c r="L761" s="12">
        <v>1041250</v>
      </c>
      <c r="M761" s="11">
        <v>1741982</v>
      </c>
    </row>
    <row r="762" spans="1:13">
      <c r="A762" s="15">
        <v>46235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7">
        <f>IFERROR(VLOOKUP(F762,Hoja2!$K$2:$M$1198,2,FALSE),0)</f>
        <v>68547000</v>
      </c>
      <c r="H762" s="17">
        <f>IFERROR(VLOOKUP(F762,Hoja2!$K$2:$M$1198,3,FALSE),0)</f>
        <v>11001000</v>
      </c>
      <c r="I762" s="3" t="s">
        <v>7</v>
      </c>
      <c r="J762" s="3" t="s">
        <v>217</v>
      </c>
      <c r="K762" s="3" t="s">
        <v>219</v>
      </c>
      <c r="L762" s="12">
        <v>1041250</v>
      </c>
      <c r="M762" s="11">
        <v>1986709</v>
      </c>
    </row>
    <row r="763" spans="1:13">
      <c r="A763" s="15">
        <v>46235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7">
        <f>IFERROR(VLOOKUP(F763,Hoja2!$K$2:$M$1198,2,FALSE),0)</f>
        <v>68001000</v>
      </c>
      <c r="H763" s="17">
        <f>IFERROR(VLOOKUP(F763,Hoja2!$K$2:$M$1198,3,FALSE),0)</f>
        <v>70001000</v>
      </c>
      <c r="I763" s="3" t="s">
        <v>7</v>
      </c>
      <c r="J763" s="3" t="s">
        <v>217</v>
      </c>
      <c r="K763" s="3" t="s">
        <v>219</v>
      </c>
      <c r="L763" s="12">
        <v>694945</v>
      </c>
      <c r="M763" s="11">
        <v>2793569</v>
      </c>
    </row>
    <row r="764" spans="1:13">
      <c r="A764" s="15">
        <v>46235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7">
        <f>IFERROR(VLOOKUP(F764,Hoja2!$K$2:$M$1198,2,FALSE),0)</f>
        <v>68001000</v>
      </c>
      <c r="H764" s="17">
        <f>IFERROR(VLOOKUP(F764,Hoja2!$K$2:$M$1198,3,FALSE),0)</f>
        <v>44430000</v>
      </c>
      <c r="I764" s="3" t="s">
        <v>7</v>
      </c>
      <c r="J764" s="3" t="s">
        <v>217</v>
      </c>
      <c r="K764" s="3" t="s">
        <v>219</v>
      </c>
      <c r="L764" s="12">
        <v>694945</v>
      </c>
      <c r="M764" s="11">
        <v>2870571</v>
      </c>
    </row>
    <row r="765" spans="1:13">
      <c r="A765" s="15">
        <v>46235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7">
        <f>IFERROR(VLOOKUP(F765,Hoja2!$K$2:$M$1198,2,FALSE),0)</f>
        <v>68001000</v>
      </c>
      <c r="H765" s="17">
        <f>IFERROR(VLOOKUP(F765,Hoja2!$K$2:$M$1198,3,FALSE),0)</f>
        <v>17001000</v>
      </c>
      <c r="I765" s="3" t="s">
        <v>7</v>
      </c>
      <c r="J765" s="3" t="s">
        <v>217</v>
      </c>
      <c r="K765" s="3" t="s">
        <v>219</v>
      </c>
      <c r="L765" s="12">
        <v>747542</v>
      </c>
      <c r="M765" s="11">
        <v>2527835</v>
      </c>
    </row>
    <row r="766" spans="1:13">
      <c r="A766" s="15">
        <v>46235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7">
        <f>IFERROR(VLOOKUP(F766,Hoja2!$K$2:$M$1198,2,FALSE),0)</f>
        <v>68547000</v>
      </c>
      <c r="H766" s="17">
        <f>IFERROR(VLOOKUP(F766,Hoja2!$K$2:$M$1198,3,FALSE),0)</f>
        <v>73001000</v>
      </c>
      <c r="I766" s="3" t="s">
        <v>7</v>
      </c>
      <c r="J766" s="3" t="s">
        <v>217</v>
      </c>
      <c r="K766" s="3" t="s">
        <v>219</v>
      </c>
      <c r="L766" s="12">
        <v>1151920</v>
      </c>
      <c r="M766" s="11">
        <v>1882411</v>
      </c>
    </row>
    <row r="767" spans="1:13">
      <c r="A767" s="15">
        <v>46235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7">
        <f>IFERROR(VLOOKUP(F767,Hoja2!$K$2:$M$1198,2,FALSE),0)</f>
        <v>68547000</v>
      </c>
      <c r="H767" s="17">
        <f>IFERROR(VLOOKUP(F767,Hoja2!$K$2:$M$1198,3,FALSE),0)</f>
        <v>54001000</v>
      </c>
      <c r="I767" s="3" t="s">
        <v>7</v>
      </c>
      <c r="J767" s="3" t="s">
        <v>217</v>
      </c>
      <c r="K767" s="3" t="s">
        <v>219</v>
      </c>
      <c r="L767" s="12">
        <v>1054340</v>
      </c>
      <c r="M767" s="11">
        <v>675679</v>
      </c>
    </row>
    <row r="768" spans="1:13">
      <c r="A768" s="15">
        <v>46235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7">
        <f>IFERROR(VLOOKUP(F768,Hoja2!$K$2:$M$1198,2,FALSE),0)</f>
        <v>68001000</v>
      </c>
      <c r="H768" s="17">
        <f>IFERROR(VLOOKUP(F768,Hoja2!$K$2:$M$1198,3,FALSE),0)</f>
        <v>19001000</v>
      </c>
      <c r="I768" s="3" t="s">
        <v>7</v>
      </c>
      <c r="J768" s="3" t="s">
        <v>217</v>
      </c>
      <c r="K768" s="3" t="s">
        <v>219</v>
      </c>
      <c r="L768" s="12">
        <v>617759</v>
      </c>
      <c r="M768" s="11">
        <v>4020083</v>
      </c>
    </row>
    <row r="769" spans="1:13">
      <c r="A769" s="15">
        <v>46235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7">
        <f>IFERROR(VLOOKUP(F769,Hoja2!$K$2:$M$1198,2,FALSE),0)</f>
        <v>68001000</v>
      </c>
      <c r="H769" s="17">
        <f>IFERROR(VLOOKUP(F769,Hoja2!$K$2:$M$1198,3,FALSE),0)</f>
        <v>44001000</v>
      </c>
      <c r="I769" s="3" t="s">
        <v>7</v>
      </c>
      <c r="J769" s="3" t="s">
        <v>217</v>
      </c>
      <c r="K769" s="3" t="s">
        <v>219</v>
      </c>
      <c r="L769" s="12">
        <v>658036</v>
      </c>
      <c r="M769" s="11">
        <v>2842025</v>
      </c>
    </row>
    <row r="770" spans="1:13">
      <c r="A770" s="15">
        <v>46235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7">
        <f>IFERROR(VLOOKUP(F770,Hoja2!$K$2:$M$1198,2,FALSE),0)</f>
        <v>68547000</v>
      </c>
      <c r="H770" s="17">
        <f>IFERROR(VLOOKUP(F770,Hoja2!$K$2:$M$1198,3,FALSE),0)</f>
        <v>5001000</v>
      </c>
      <c r="I770" s="3" t="s">
        <v>7</v>
      </c>
      <c r="J770" s="3" t="s">
        <v>217</v>
      </c>
      <c r="K770" s="3" t="s">
        <v>219</v>
      </c>
      <c r="L770" s="12">
        <v>487525</v>
      </c>
      <c r="M770" s="11">
        <v>2072212</v>
      </c>
    </row>
    <row r="771" spans="1:13">
      <c r="A771" s="15">
        <v>46235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7">
        <f>IFERROR(VLOOKUP(F771,Hoja2!$K$2:$M$1198,2,FALSE),0)</f>
        <v>68547000</v>
      </c>
      <c r="H771" s="17">
        <f>IFERROR(VLOOKUP(F771,Hoja2!$K$2:$M$1198,3,FALSE),0)</f>
        <v>73001000</v>
      </c>
      <c r="I771" s="3" t="s">
        <v>7</v>
      </c>
      <c r="J771" s="3" t="s">
        <v>217</v>
      </c>
      <c r="K771" s="3" t="s">
        <v>219</v>
      </c>
      <c r="L771" s="12">
        <v>1041250</v>
      </c>
      <c r="M771" s="11">
        <v>2640045</v>
      </c>
    </row>
    <row r="772" spans="1:13">
      <c r="A772" s="15">
        <v>46235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7">
        <f>IFERROR(VLOOKUP(F772,Hoja2!$K$2:$M$1198,2,FALSE),0)</f>
        <v>0</v>
      </c>
      <c r="H772" s="17">
        <f>IFERROR(VLOOKUP(F772,Hoja2!$K$2:$M$1198,3,FALSE),0)</f>
        <v>0</v>
      </c>
      <c r="I772" s="3" t="s">
        <v>7</v>
      </c>
      <c r="J772" s="3" t="s">
        <v>217</v>
      </c>
      <c r="K772" s="3" t="s">
        <v>219</v>
      </c>
      <c r="L772" s="12">
        <v>448798</v>
      </c>
      <c r="M772" s="11">
        <v>2847012</v>
      </c>
    </row>
    <row r="773" spans="1:13">
      <c r="A773" s="15">
        <v>46235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7">
        <f>IFERROR(VLOOKUP(F773,Hoja2!$K$2:$M$1198,2,FALSE),0)</f>
        <v>68547000</v>
      </c>
      <c r="H773" s="17">
        <f>IFERROR(VLOOKUP(F773,Hoja2!$K$2:$M$1198,3,FALSE),0)</f>
        <v>5001000</v>
      </c>
      <c r="I773" s="3" t="s">
        <v>7</v>
      </c>
      <c r="J773" s="3" t="s">
        <v>217</v>
      </c>
      <c r="K773" s="3" t="s">
        <v>219</v>
      </c>
      <c r="L773" s="12">
        <v>543304</v>
      </c>
      <c r="M773" s="11">
        <v>2092161</v>
      </c>
    </row>
    <row r="774" spans="1:13">
      <c r="A774" s="15">
        <v>46235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7">
        <f>IFERROR(VLOOKUP(F774,Hoja2!$K$2:$M$1198,2,FALSE),0)</f>
        <v>68001000</v>
      </c>
      <c r="H774" s="17">
        <f>IFERROR(VLOOKUP(F774,Hoja2!$K$2:$M$1198,3,FALSE),0)</f>
        <v>52835000</v>
      </c>
      <c r="I774" s="3" t="s">
        <v>7</v>
      </c>
      <c r="J774" s="3" t="s">
        <v>217</v>
      </c>
      <c r="K774" s="3" t="s">
        <v>219</v>
      </c>
      <c r="L774" s="12">
        <v>632092</v>
      </c>
      <c r="M774" s="11">
        <v>6347135</v>
      </c>
    </row>
    <row r="775" spans="1:13">
      <c r="A775" s="15">
        <v>46235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7">
        <f>IFERROR(VLOOKUP(F775,Hoja2!$K$2:$M$1198,2,FALSE),0)</f>
        <v>68547000</v>
      </c>
      <c r="H775" s="17">
        <f>IFERROR(VLOOKUP(F775,Hoja2!$K$2:$M$1198,3,FALSE),0)</f>
        <v>11001000</v>
      </c>
      <c r="I775" s="3" t="s">
        <v>7</v>
      </c>
      <c r="J775" s="3" t="s">
        <v>217</v>
      </c>
      <c r="K775" s="3" t="s">
        <v>219</v>
      </c>
      <c r="L775" s="12">
        <v>1041250</v>
      </c>
      <c r="M775" s="11">
        <v>1931309</v>
      </c>
    </row>
    <row r="776" spans="1:13">
      <c r="A776" s="15">
        <v>46235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7">
        <f>IFERROR(VLOOKUP(F776,Hoja2!$K$2:$M$1198,2,FALSE),0)</f>
        <v>68001000</v>
      </c>
      <c r="H776" s="17">
        <f>IFERROR(VLOOKUP(F776,Hoja2!$K$2:$M$1198,3,FALSE),0)</f>
        <v>76895000</v>
      </c>
      <c r="I776" s="3" t="s">
        <v>7</v>
      </c>
      <c r="J776" s="3" t="s">
        <v>217</v>
      </c>
      <c r="K776" s="3" t="s">
        <v>219</v>
      </c>
      <c r="L776" s="12">
        <v>495637</v>
      </c>
      <c r="M776" s="11">
        <v>2904364</v>
      </c>
    </row>
    <row r="777" spans="1:13">
      <c r="A777" s="15">
        <v>46235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7">
        <f>IFERROR(VLOOKUP(F777,Hoja2!$K$2:$M$1198,2,FALSE),0)</f>
        <v>0</v>
      </c>
      <c r="H777" s="17">
        <f>IFERROR(VLOOKUP(F777,Hoja2!$K$2:$M$1198,3,FALSE),0)</f>
        <v>0</v>
      </c>
      <c r="I777" s="3" t="s">
        <v>7</v>
      </c>
      <c r="J777" s="3" t="s">
        <v>217</v>
      </c>
      <c r="K777" s="3" t="s">
        <v>219</v>
      </c>
      <c r="L777" s="12">
        <v>527170</v>
      </c>
      <c r="M777" s="11">
        <v>1769411</v>
      </c>
    </row>
    <row r="778" spans="1:13">
      <c r="A778" s="15">
        <v>46235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7">
        <f>IFERROR(VLOOKUP(F778,Hoja2!$K$2:$M$1198,2,FALSE),0)</f>
        <v>68001000</v>
      </c>
      <c r="H778" s="17">
        <f>IFERROR(VLOOKUP(F778,Hoja2!$K$2:$M$1198,3,FALSE),0)</f>
        <v>52001000</v>
      </c>
      <c r="I778" s="3" t="s">
        <v>7</v>
      </c>
      <c r="J778" s="3" t="s">
        <v>217</v>
      </c>
      <c r="K778" s="3" t="s">
        <v>219</v>
      </c>
      <c r="L778" s="12">
        <v>632092</v>
      </c>
      <c r="M778" s="11">
        <v>5401198</v>
      </c>
    </row>
    <row r="779" spans="1:13">
      <c r="A779" s="15">
        <v>46235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7">
        <f>IFERROR(VLOOKUP(F779,Hoja2!$K$2:$M$1198,2,FALSE),0)</f>
        <v>0</v>
      </c>
      <c r="H779" s="17">
        <f>IFERROR(VLOOKUP(F779,Hoja2!$K$2:$M$1198,3,FALSE),0)</f>
        <v>0</v>
      </c>
      <c r="I779" s="3" t="s">
        <v>7</v>
      </c>
      <c r="J779" s="3" t="s">
        <v>217</v>
      </c>
      <c r="K779" s="3" t="s">
        <v>219</v>
      </c>
      <c r="L779" s="12">
        <v>417928</v>
      </c>
      <c r="M779" s="11">
        <v>1740138</v>
      </c>
    </row>
    <row r="780" spans="1:13">
      <c r="A780" s="15">
        <v>46235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7">
        <f>IFERROR(VLOOKUP(F780,Hoja2!$K$2:$M$1198,2,FALSE),0)</f>
        <v>20001000</v>
      </c>
      <c r="H780" s="17">
        <f>IFERROR(VLOOKUP(F780,Hoja2!$K$2:$M$1198,3,FALSE),0)</f>
        <v>68081000</v>
      </c>
      <c r="I780" s="3" t="s">
        <v>7</v>
      </c>
      <c r="J780" s="3" t="s">
        <v>217</v>
      </c>
      <c r="K780" s="3" t="s">
        <v>219</v>
      </c>
      <c r="L780" s="12">
        <v>1205357</v>
      </c>
      <c r="M780" s="11">
        <v>1566778</v>
      </c>
    </row>
    <row r="781" spans="1:13">
      <c r="A781" s="15">
        <v>46235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7">
        <f>IFERROR(VLOOKUP(F781,Hoja2!$K$2:$M$1198,2,FALSE),0)</f>
        <v>20001000</v>
      </c>
      <c r="H781" s="17">
        <f>IFERROR(VLOOKUP(F781,Hoja2!$K$2:$M$1198,3,FALSE),0)</f>
        <v>13001000</v>
      </c>
      <c r="I781" s="3" t="s">
        <v>7</v>
      </c>
      <c r="J781" s="3" t="s">
        <v>217</v>
      </c>
      <c r="K781" s="3" t="s">
        <v>219</v>
      </c>
      <c r="L781" s="12">
        <v>602806</v>
      </c>
      <c r="M781" s="11">
        <v>1824270</v>
      </c>
    </row>
    <row r="782" spans="1:13">
      <c r="A782" s="15">
        <v>46235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7">
        <f>IFERROR(VLOOKUP(F782,Hoja2!$K$2:$M$1198,2,FALSE),0)</f>
        <v>20001000</v>
      </c>
      <c r="H782" s="17">
        <f>IFERROR(VLOOKUP(F782,Hoja2!$K$2:$M$1198,3,FALSE),0)</f>
        <v>11001000</v>
      </c>
      <c r="I782" s="3" t="s">
        <v>7</v>
      </c>
      <c r="J782" s="3" t="s">
        <v>217</v>
      </c>
      <c r="K782" s="3" t="s">
        <v>219</v>
      </c>
      <c r="L782" s="12">
        <v>523076</v>
      </c>
      <c r="M782" s="11">
        <v>3897897</v>
      </c>
    </row>
    <row r="783" spans="1:13">
      <c r="A783" s="15">
        <v>46235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7">
        <f>IFERROR(VLOOKUP(F783,Hoja2!$K$2:$M$1198,2,FALSE),0)</f>
        <v>20001000</v>
      </c>
      <c r="H783" s="17">
        <f>IFERROR(VLOOKUP(F783,Hoja2!$K$2:$M$1198,3,FALSE),0)</f>
        <v>11001000</v>
      </c>
      <c r="I783" s="3" t="s">
        <v>7</v>
      </c>
      <c r="J783" s="3" t="s">
        <v>217</v>
      </c>
      <c r="K783" s="3" t="s">
        <v>219</v>
      </c>
      <c r="L783" s="12">
        <v>546856</v>
      </c>
      <c r="M783" s="11">
        <v>3959886</v>
      </c>
    </row>
    <row r="784" spans="1:13">
      <c r="A784" s="15">
        <v>46235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7">
        <f>IFERROR(VLOOKUP(F784,Hoja2!$K$2:$M$1198,2,FALSE),0)</f>
        <v>20001000</v>
      </c>
      <c r="H784" s="17">
        <f>IFERROR(VLOOKUP(F784,Hoja2!$K$2:$M$1198,3,FALSE),0)</f>
        <v>11001000</v>
      </c>
      <c r="I784" s="3" t="s">
        <v>7</v>
      </c>
      <c r="J784" s="3" t="s">
        <v>217</v>
      </c>
      <c r="K784" s="3" t="s">
        <v>219</v>
      </c>
      <c r="L784" s="12">
        <v>546856</v>
      </c>
      <c r="M784" s="11">
        <v>3931855</v>
      </c>
    </row>
    <row r="785" spans="1:13">
      <c r="A785" s="15">
        <v>46235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7">
        <f>IFERROR(VLOOKUP(F785,Hoja2!$K$2:$M$1198,2,FALSE),0)</f>
        <v>20001000</v>
      </c>
      <c r="H785" s="17">
        <f>IFERROR(VLOOKUP(F785,Hoja2!$K$2:$M$1198,3,FALSE),0)</f>
        <v>68001000</v>
      </c>
      <c r="I785" s="3" t="s">
        <v>7</v>
      </c>
      <c r="J785" s="3" t="s">
        <v>217</v>
      </c>
      <c r="K785" s="3" t="s">
        <v>219</v>
      </c>
      <c r="L785" s="12">
        <v>546876</v>
      </c>
      <c r="M785" s="11">
        <v>2053230</v>
      </c>
    </row>
    <row r="786" spans="1:13">
      <c r="A786" s="15">
        <v>46235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7">
        <f>IFERROR(VLOOKUP(F786,Hoja2!$K$2:$M$1198,2,FALSE),0)</f>
        <v>0</v>
      </c>
      <c r="H786" s="17">
        <f>IFERROR(VLOOKUP(F786,Hoja2!$K$2:$M$1198,3,FALSE),0)</f>
        <v>0</v>
      </c>
      <c r="I786" s="3" t="s">
        <v>7</v>
      </c>
      <c r="J786" s="3" t="s">
        <v>217</v>
      </c>
      <c r="K786" s="3" t="s">
        <v>219</v>
      </c>
      <c r="L786" s="12">
        <v>525442</v>
      </c>
      <c r="M786" s="11">
        <v>5221660</v>
      </c>
    </row>
    <row r="787" spans="1:13">
      <c r="A787" s="15">
        <v>46235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7">
        <f>IFERROR(VLOOKUP(F787,Hoja2!$K$2:$M$1198,2,FALSE),0)</f>
        <v>0</v>
      </c>
      <c r="H787" s="17">
        <f>IFERROR(VLOOKUP(F787,Hoja2!$K$2:$M$1198,3,FALSE),0)</f>
        <v>0</v>
      </c>
      <c r="I787" s="3" t="s">
        <v>7</v>
      </c>
      <c r="J787" s="3" t="s">
        <v>217</v>
      </c>
      <c r="K787" s="3" t="s">
        <v>219</v>
      </c>
      <c r="L787" s="12">
        <v>445964</v>
      </c>
      <c r="M787" s="11">
        <v>3859078</v>
      </c>
    </row>
    <row r="788" spans="1:13">
      <c r="A788" s="15">
        <v>46235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7">
        <f>IFERROR(VLOOKUP(F788,Hoja2!$K$2:$M$1198,2,FALSE),0)</f>
        <v>11001000</v>
      </c>
      <c r="H788" s="17">
        <f>IFERROR(VLOOKUP(F788,Hoja2!$K$2:$M$1198,3,FALSE),0)</f>
        <v>19142000</v>
      </c>
      <c r="I788" s="3" t="s">
        <v>7</v>
      </c>
      <c r="J788" s="3" t="s">
        <v>217</v>
      </c>
      <c r="K788" s="3" t="s">
        <v>219</v>
      </c>
      <c r="L788" s="12">
        <v>518820</v>
      </c>
      <c r="M788" s="11">
        <v>2073627</v>
      </c>
    </row>
    <row r="789" spans="1:13">
      <c r="A789" s="15">
        <v>46235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7">
        <f>IFERROR(VLOOKUP(F789,Hoja2!$K$2:$M$1198,2,FALSE),0)</f>
        <v>11001000</v>
      </c>
      <c r="H789" s="17">
        <f>IFERROR(VLOOKUP(F789,Hoja2!$K$2:$M$1198,3,FALSE),0)</f>
        <v>47001000</v>
      </c>
      <c r="I789" s="3" t="s">
        <v>7</v>
      </c>
      <c r="J789" s="3" t="s">
        <v>217</v>
      </c>
      <c r="K789" s="3" t="s">
        <v>219</v>
      </c>
      <c r="L789" s="12">
        <v>710088</v>
      </c>
      <c r="M789" s="11">
        <v>4059980</v>
      </c>
    </row>
    <row r="790" spans="1:13">
      <c r="A790" s="15">
        <v>46235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7">
        <f>IFERROR(VLOOKUP(F790,Hoja2!$K$2:$M$1198,2,FALSE),0)</f>
        <v>11001000</v>
      </c>
      <c r="H790" s="17">
        <f>IFERROR(VLOOKUP(F790,Hoja2!$K$2:$M$1198,3,FALSE),0)</f>
        <v>25290000</v>
      </c>
      <c r="I790" s="3" t="s">
        <v>7</v>
      </c>
      <c r="J790" s="3" t="s">
        <v>217</v>
      </c>
      <c r="K790" s="3" t="s">
        <v>219</v>
      </c>
      <c r="L790" s="12">
        <v>1040830</v>
      </c>
      <c r="M790" s="11">
        <v>800847</v>
      </c>
    </row>
    <row r="791" spans="1:13">
      <c r="A791" s="15">
        <v>46235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7">
        <f>IFERROR(VLOOKUP(F791,Hoja2!$K$2:$M$1198,2,FALSE),0)</f>
        <v>11001000</v>
      </c>
      <c r="H791" s="17">
        <f>IFERROR(VLOOKUP(F791,Hoja2!$K$2:$M$1198,3,FALSE),0)</f>
        <v>15322000</v>
      </c>
      <c r="I791" s="3" t="s">
        <v>7</v>
      </c>
      <c r="J791" s="3" t="s">
        <v>217</v>
      </c>
      <c r="K791" s="3" t="s">
        <v>219</v>
      </c>
      <c r="L791" s="12">
        <v>509811</v>
      </c>
      <c r="M791" s="11">
        <v>800986</v>
      </c>
    </row>
    <row r="792" spans="1:13">
      <c r="A792" s="15">
        <v>46235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7">
        <f>IFERROR(VLOOKUP(F792,Hoja2!$K$2:$M$1198,2,FALSE),0)</f>
        <v>11001000</v>
      </c>
      <c r="H792" s="17">
        <f>IFERROR(VLOOKUP(F792,Hoja2!$K$2:$M$1198,3,FALSE),0)</f>
        <v>54001000</v>
      </c>
      <c r="I792" s="3" t="s">
        <v>7</v>
      </c>
      <c r="J792" s="3" t="s">
        <v>217</v>
      </c>
      <c r="K792" s="3" t="s">
        <v>219</v>
      </c>
      <c r="L792" s="12">
        <v>1054320</v>
      </c>
      <c r="M792" s="11">
        <v>2607628</v>
      </c>
    </row>
    <row r="793" spans="1:13">
      <c r="A793" s="15">
        <v>46235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7">
        <f>IFERROR(VLOOKUP(F793,Hoja2!$K$2:$M$1198,2,FALSE),0)</f>
        <v>11001000</v>
      </c>
      <c r="H793" s="17">
        <f>IFERROR(VLOOKUP(F793,Hoja2!$K$2:$M$1198,3,FALSE),0)</f>
        <v>5579000</v>
      </c>
      <c r="I793" s="3" t="s">
        <v>7</v>
      </c>
      <c r="J793" s="3" t="s">
        <v>217</v>
      </c>
      <c r="K793" s="3" t="s">
        <v>219</v>
      </c>
      <c r="L793" s="12">
        <v>865859</v>
      </c>
      <c r="M793" s="11">
        <v>1465355</v>
      </c>
    </row>
    <row r="794" spans="1:13">
      <c r="A794" s="15">
        <v>46235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7">
        <f>IFERROR(VLOOKUP(F794,Hoja2!$K$2:$M$1198,2,FALSE),0)</f>
        <v>11001000</v>
      </c>
      <c r="H794" s="17">
        <f>IFERROR(VLOOKUP(F794,Hoja2!$K$2:$M$1198,3,FALSE),0)</f>
        <v>52835000</v>
      </c>
      <c r="I794" s="3" t="s">
        <v>7</v>
      </c>
      <c r="J794" s="3" t="s">
        <v>217</v>
      </c>
      <c r="K794" s="3" t="s">
        <v>219</v>
      </c>
      <c r="L794" s="12">
        <v>643329</v>
      </c>
      <c r="M794" s="11">
        <v>5124411</v>
      </c>
    </row>
    <row r="795" spans="1:13">
      <c r="A795" s="15">
        <v>46235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7">
        <f>IFERROR(VLOOKUP(F795,Hoja2!$K$2:$M$1198,2,FALSE),0)</f>
        <v>11001000</v>
      </c>
      <c r="H795" s="17">
        <f>IFERROR(VLOOKUP(F795,Hoja2!$K$2:$M$1198,3,FALSE),0)</f>
        <v>25875000</v>
      </c>
      <c r="I795" s="3" t="s">
        <v>7</v>
      </c>
      <c r="J795" s="3" t="s">
        <v>217</v>
      </c>
      <c r="K795" s="3" t="s">
        <v>219</v>
      </c>
      <c r="L795" s="12">
        <v>1041230</v>
      </c>
      <c r="M795" s="11">
        <v>895972</v>
      </c>
    </row>
    <row r="796" spans="1:13">
      <c r="A796" s="15">
        <v>46235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7">
        <f>IFERROR(VLOOKUP(F796,Hoja2!$K$2:$M$1198,2,FALSE),0)</f>
        <v>0</v>
      </c>
      <c r="H796" s="17">
        <f>IFERROR(VLOOKUP(F796,Hoja2!$K$2:$M$1198,3,FALSE),0)</f>
        <v>0</v>
      </c>
      <c r="I796" s="3" t="s">
        <v>7</v>
      </c>
      <c r="J796" s="3" t="s">
        <v>217</v>
      </c>
      <c r="K796" s="3" t="s">
        <v>219</v>
      </c>
      <c r="L796" s="12">
        <v>527150</v>
      </c>
      <c r="M796" s="11">
        <v>677199</v>
      </c>
    </row>
    <row r="797" spans="1:13">
      <c r="A797" s="15">
        <v>46235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7">
        <f>IFERROR(VLOOKUP(F797,Hoja2!$K$2:$M$1198,2,FALSE),0)</f>
        <v>0</v>
      </c>
      <c r="H797" s="17">
        <f>IFERROR(VLOOKUP(F797,Hoja2!$K$2:$M$1198,3,FALSE),0)</f>
        <v>0</v>
      </c>
      <c r="I797" s="3" t="s">
        <v>7</v>
      </c>
      <c r="J797" s="3" t="s">
        <v>217</v>
      </c>
      <c r="K797" s="3" t="s">
        <v>219</v>
      </c>
      <c r="L797" s="12">
        <v>417908</v>
      </c>
      <c r="M797" s="11">
        <v>566913</v>
      </c>
    </row>
    <row r="798" spans="1:13">
      <c r="A798" s="15">
        <v>46235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7">
        <f>IFERROR(VLOOKUP(F798,Hoja2!$K$2:$M$1198,2,FALSE),0)</f>
        <v>11001000</v>
      </c>
      <c r="H798" s="17">
        <f>IFERROR(VLOOKUP(F798,Hoja2!$K$2:$M$1198,3,FALSE),0)</f>
        <v>66001000</v>
      </c>
      <c r="I798" s="3" t="s">
        <v>7</v>
      </c>
      <c r="J798" s="3" t="s">
        <v>217</v>
      </c>
      <c r="K798" s="3" t="s">
        <v>219</v>
      </c>
      <c r="L798" s="12">
        <v>619400</v>
      </c>
      <c r="M798" s="11">
        <v>1651729</v>
      </c>
    </row>
    <row r="799" spans="1:13">
      <c r="A799" s="15">
        <v>46235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7">
        <f>IFERROR(VLOOKUP(F799,Hoja2!$K$2:$M$1198,2,FALSE),0)</f>
        <v>23001000</v>
      </c>
      <c r="H799" s="17">
        <f>IFERROR(VLOOKUP(F799,Hoja2!$K$2:$M$1198,3,FALSE),0)</f>
        <v>19142000</v>
      </c>
      <c r="I799" s="3" t="s">
        <v>7</v>
      </c>
      <c r="J799" s="3" t="s">
        <v>217</v>
      </c>
      <c r="K799" s="3" t="s">
        <v>219</v>
      </c>
      <c r="L799" s="12">
        <v>534310</v>
      </c>
      <c r="M799" s="11">
        <v>4023654</v>
      </c>
    </row>
    <row r="800" spans="1:13">
      <c r="A800" s="15">
        <v>46235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7">
        <f>IFERROR(VLOOKUP(F800,Hoja2!$K$2:$M$1198,2,FALSE),0)</f>
        <v>23001000</v>
      </c>
      <c r="H800" s="17">
        <f>IFERROR(VLOOKUP(F800,Hoja2!$K$2:$M$1198,3,FALSE),0)</f>
        <v>13001000</v>
      </c>
      <c r="I800" s="3" t="s">
        <v>7</v>
      </c>
      <c r="J800" s="3" t="s">
        <v>217</v>
      </c>
      <c r="K800" s="3" t="s">
        <v>219</v>
      </c>
      <c r="L800" s="12">
        <v>590240</v>
      </c>
      <c r="M800" s="11">
        <v>1643110</v>
      </c>
    </row>
    <row r="801" spans="1:13">
      <c r="A801" s="15">
        <v>46235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7">
        <f>IFERROR(VLOOKUP(F801,Hoja2!$K$2:$M$1198,2,FALSE),0)</f>
        <v>23001000</v>
      </c>
      <c r="H801" s="17">
        <f>IFERROR(VLOOKUP(F801,Hoja2!$K$2:$M$1198,3,FALSE),0)</f>
        <v>5360000</v>
      </c>
      <c r="I801" s="3" t="s">
        <v>7</v>
      </c>
      <c r="J801" s="3" t="s">
        <v>217</v>
      </c>
      <c r="K801" s="3" t="s">
        <v>219</v>
      </c>
      <c r="L801" s="12">
        <v>534310</v>
      </c>
      <c r="M801" s="11">
        <v>1906558</v>
      </c>
    </row>
    <row r="802" spans="1:13">
      <c r="A802" s="15">
        <v>46235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7">
        <f>IFERROR(VLOOKUP(F802,Hoja2!$K$2:$M$1198,2,FALSE),0)</f>
        <v>23001000</v>
      </c>
      <c r="H802" s="17">
        <f>IFERROR(VLOOKUP(F802,Hoja2!$K$2:$M$1198,3,FALSE),0)</f>
        <v>5615000</v>
      </c>
      <c r="I802" s="3" t="s">
        <v>7</v>
      </c>
      <c r="J802" s="3" t="s">
        <v>217</v>
      </c>
      <c r="K802" s="3" t="s">
        <v>219</v>
      </c>
      <c r="L802" s="12">
        <v>502995</v>
      </c>
      <c r="M802" s="11">
        <v>1924013</v>
      </c>
    </row>
    <row r="803" spans="1:13">
      <c r="A803" s="15">
        <v>46235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7">
        <f>IFERROR(VLOOKUP(F803,Hoja2!$K$2:$M$1198,2,FALSE),0)</f>
        <v>23001000</v>
      </c>
      <c r="H803" s="17">
        <f>IFERROR(VLOOKUP(F803,Hoja2!$K$2:$M$1198,3,FALSE),0)</f>
        <v>47001000</v>
      </c>
      <c r="I803" s="3" t="s">
        <v>7</v>
      </c>
      <c r="J803" s="3" t="s">
        <v>217</v>
      </c>
      <c r="K803" s="3" t="s">
        <v>219</v>
      </c>
      <c r="L803" s="12">
        <v>534310</v>
      </c>
      <c r="M803" s="11">
        <v>1981365</v>
      </c>
    </row>
    <row r="804" spans="1:13">
      <c r="A804" s="15">
        <v>46235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7">
        <f>IFERROR(VLOOKUP(F804,Hoja2!$K$2:$M$1198,2,FALSE),0)</f>
        <v>23001000</v>
      </c>
      <c r="H804" s="17">
        <f>IFERROR(VLOOKUP(F804,Hoja2!$K$2:$M$1198,3,FALSE),0)</f>
        <v>68001000</v>
      </c>
      <c r="I804" s="3" t="s">
        <v>7</v>
      </c>
      <c r="J804" s="3" t="s">
        <v>217</v>
      </c>
      <c r="K804" s="3" t="s">
        <v>219</v>
      </c>
      <c r="L804" s="12">
        <v>534310</v>
      </c>
      <c r="M804" s="11">
        <v>3090213</v>
      </c>
    </row>
    <row r="805" spans="1:13">
      <c r="A805" s="15">
        <v>46235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7">
        <f>IFERROR(VLOOKUP(F805,Hoja2!$K$2:$M$1198,2,FALSE),0)</f>
        <v>23001000</v>
      </c>
      <c r="H805" s="17">
        <f>IFERROR(VLOOKUP(F805,Hoja2!$K$2:$M$1198,3,FALSE),0)</f>
        <v>5001000</v>
      </c>
      <c r="I805" s="3" t="s">
        <v>7</v>
      </c>
      <c r="J805" s="3" t="s">
        <v>217</v>
      </c>
      <c r="K805" s="3" t="s">
        <v>219</v>
      </c>
      <c r="L805" s="12">
        <v>534310</v>
      </c>
      <c r="M805" s="11">
        <v>1872878</v>
      </c>
    </row>
    <row r="806" spans="1:13">
      <c r="A806" s="15">
        <v>46235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7">
        <f>IFERROR(VLOOKUP(F806,Hoja2!$K$2:$M$1198,2,FALSE),0)</f>
        <v>23001000</v>
      </c>
      <c r="H806" s="17">
        <f>IFERROR(VLOOKUP(F806,Hoja2!$K$2:$M$1198,3,FALSE),0)</f>
        <v>8433000</v>
      </c>
      <c r="I806" s="3" t="s">
        <v>7</v>
      </c>
      <c r="J806" s="3" t="s">
        <v>217</v>
      </c>
      <c r="K806" s="3" t="s">
        <v>219</v>
      </c>
      <c r="L806" s="12">
        <v>534310</v>
      </c>
      <c r="M806" s="11">
        <v>1706824</v>
      </c>
    </row>
    <row r="807" spans="1:13">
      <c r="A807" s="15">
        <v>46235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7">
        <f>IFERROR(VLOOKUP(F807,Hoja2!$K$2:$M$1198,2,FALSE),0)</f>
        <v>23001000</v>
      </c>
      <c r="H807" s="17">
        <f>IFERROR(VLOOKUP(F807,Hoja2!$K$2:$M$1198,3,FALSE),0)</f>
        <v>5001000</v>
      </c>
      <c r="I807" s="3" t="s">
        <v>7</v>
      </c>
      <c r="J807" s="3" t="s">
        <v>217</v>
      </c>
      <c r="K807" s="3" t="s">
        <v>219</v>
      </c>
      <c r="L807" s="12">
        <v>534310</v>
      </c>
      <c r="M807" s="11">
        <v>1896114</v>
      </c>
    </row>
    <row r="808" spans="1:13">
      <c r="A808" s="15">
        <v>46235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7">
        <f>IFERROR(VLOOKUP(F808,Hoja2!$K$2:$M$1198,2,FALSE),0)</f>
        <v>41001000</v>
      </c>
      <c r="H808" s="17">
        <f>IFERROR(VLOOKUP(F808,Hoja2!$K$2:$M$1198,3,FALSE),0)</f>
        <v>19142000</v>
      </c>
      <c r="I808" s="3" t="s">
        <v>7</v>
      </c>
      <c r="J808" s="3" t="s">
        <v>217</v>
      </c>
      <c r="K808" s="3" t="s">
        <v>219</v>
      </c>
      <c r="L808" s="12">
        <v>616420</v>
      </c>
      <c r="M808" s="11">
        <v>2076121</v>
      </c>
    </row>
    <row r="809" spans="1:13">
      <c r="A809" s="15">
        <v>46235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7">
        <f>IFERROR(VLOOKUP(F809,Hoja2!$K$2:$M$1198,2,FALSE),0)</f>
        <v>41001000</v>
      </c>
      <c r="H809" s="17">
        <f>IFERROR(VLOOKUP(F809,Hoja2!$K$2:$M$1198,3,FALSE),0)</f>
        <v>76109000</v>
      </c>
      <c r="I809" s="3" t="s">
        <v>7</v>
      </c>
      <c r="J809" s="3" t="s">
        <v>217</v>
      </c>
      <c r="K809" s="3" t="s">
        <v>219</v>
      </c>
      <c r="L809" s="12">
        <v>867840</v>
      </c>
      <c r="M809" s="11">
        <v>2407065</v>
      </c>
    </row>
    <row r="810" spans="1:13">
      <c r="A810" s="15">
        <v>46235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7">
        <f>IFERROR(VLOOKUP(F810,Hoja2!$K$2:$M$1198,2,FALSE),0)</f>
        <v>41001000</v>
      </c>
      <c r="H810" s="17">
        <f>IFERROR(VLOOKUP(F810,Hoja2!$K$2:$M$1198,3,FALSE),0)</f>
        <v>13001000</v>
      </c>
      <c r="I810" s="3" t="s">
        <v>7</v>
      </c>
      <c r="J810" s="3" t="s">
        <v>217</v>
      </c>
      <c r="K810" s="3" t="s">
        <v>219</v>
      </c>
      <c r="L810" s="12">
        <v>672350</v>
      </c>
      <c r="M810" s="11">
        <v>4963732</v>
      </c>
    </row>
    <row r="811" spans="1:13">
      <c r="A811" s="15">
        <v>46235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7">
        <f>IFERROR(VLOOKUP(F811,Hoja2!$K$2:$M$1198,2,FALSE),0)</f>
        <v>41001000</v>
      </c>
      <c r="H811" s="17">
        <f>IFERROR(VLOOKUP(F811,Hoja2!$K$2:$M$1198,3,FALSE),0)</f>
        <v>18001000</v>
      </c>
      <c r="I811" s="3" t="s">
        <v>7</v>
      </c>
      <c r="J811" s="3" t="s">
        <v>217</v>
      </c>
      <c r="K811" s="3" t="s">
        <v>219</v>
      </c>
      <c r="L811" s="12">
        <v>675008</v>
      </c>
      <c r="M811" s="11">
        <v>1181615</v>
      </c>
    </row>
    <row r="812" spans="1:13">
      <c r="A812" s="15">
        <v>46235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7">
        <f>IFERROR(VLOOKUP(F812,Hoja2!$K$2:$M$1198,2,FALSE),0)</f>
        <v>41001000</v>
      </c>
      <c r="H812" s="17">
        <f>IFERROR(VLOOKUP(F812,Hoja2!$K$2:$M$1198,3,FALSE),0)</f>
        <v>11001000</v>
      </c>
      <c r="I812" s="3" t="s">
        <v>7</v>
      </c>
      <c r="J812" s="3" t="s">
        <v>217</v>
      </c>
      <c r="K812" s="3" t="s">
        <v>219</v>
      </c>
      <c r="L812" s="12">
        <v>1138830</v>
      </c>
      <c r="M812" s="11">
        <v>1856637</v>
      </c>
    </row>
    <row r="813" spans="1:13">
      <c r="A813" s="15">
        <v>46235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7">
        <f>IFERROR(VLOOKUP(F813,Hoja2!$K$2:$M$1198,2,FALSE),0)</f>
        <v>41001000</v>
      </c>
      <c r="H813" s="17">
        <f>IFERROR(VLOOKUP(F813,Hoja2!$K$2:$M$1198,3,FALSE),0)</f>
        <v>11001000</v>
      </c>
      <c r="I813" s="3" t="s">
        <v>7</v>
      </c>
      <c r="J813" s="3" t="s">
        <v>217</v>
      </c>
      <c r="K813" s="3" t="s">
        <v>219</v>
      </c>
      <c r="L813" s="12">
        <v>1138830</v>
      </c>
      <c r="M813" s="11">
        <v>1538406</v>
      </c>
    </row>
    <row r="814" spans="1:13">
      <c r="A814" s="15">
        <v>46235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7">
        <f>IFERROR(VLOOKUP(F814,Hoja2!$K$2:$M$1198,2,FALSE),0)</f>
        <v>41001000</v>
      </c>
      <c r="H814" s="17">
        <f>IFERROR(VLOOKUP(F814,Hoja2!$K$2:$M$1198,3,FALSE),0)</f>
        <v>73001000</v>
      </c>
      <c r="I814" s="3" t="s">
        <v>7</v>
      </c>
      <c r="J814" s="3" t="s">
        <v>217</v>
      </c>
      <c r="K814" s="3" t="s">
        <v>219</v>
      </c>
      <c r="L814" s="12">
        <v>1249500</v>
      </c>
      <c r="M814" s="11">
        <v>1645707</v>
      </c>
    </row>
    <row r="815" spans="1:13">
      <c r="A815" s="15">
        <v>46235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7">
        <f>IFERROR(VLOOKUP(F815,Hoja2!$K$2:$M$1198,2,FALSE),0)</f>
        <v>41001000</v>
      </c>
      <c r="H815" s="17">
        <f>IFERROR(VLOOKUP(F815,Hoja2!$K$2:$M$1198,3,FALSE),0)</f>
        <v>11001000</v>
      </c>
      <c r="I815" s="3" t="s">
        <v>7</v>
      </c>
      <c r="J815" s="3" t="s">
        <v>217</v>
      </c>
      <c r="K815" s="3" t="s">
        <v>219</v>
      </c>
      <c r="L815" s="12">
        <v>591549</v>
      </c>
      <c r="M815" s="11">
        <v>1915986</v>
      </c>
    </row>
    <row r="816" spans="1:13">
      <c r="A816" s="15">
        <v>46235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7">
        <f>IFERROR(VLOOKUP(F816,Hoja2!$K$2:$M$1198,2,FALSE),0)</f>
        <v>0</v>
      </c>
      <c r="H816" s="17">
        <f>IFERROR(VLOOKUP(F816,Hoja2!$K$2:$M$1198,3,FALSE),0)</f>
        <v>0</v>
      </c>
      <c r="I816" s="3" t="s">
        <v>7</v>
      </c>
      <c r="J816" s="3" t="s">
        <v>217</v>
      </c>
      <c r="K816" s="3" t="s">
        <v>219</v>
      </c>
      <c r="L816" s="12">
        <v>624750</v>
      </c>
      <c r="M816" s="11">
        <v>1789360</v>
      </c>
    </row>
    <row r="817" spans="1:13">
      <c r="A817" s="15">
        <v>46235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7">
        <f>IFERROR(VLOOKUP(F817,Hoja2!$K$2:$M$1198,2,FALSE),0)</f>
        <v>41001000</v>
      </c>
      <c r="H817" s="17">
        <f>IFERROR(VLOOKUP(F817,Hoja2!$K$2:$M$1198,3,FALSE),0)</f>
        <v>11001000</v>
      </c>
      <c r="I817" s="3" t="s">
        <v>7</v>
      </c>
      <c r="J817" s="3" t="s">
        <v>217</v>
      </c>
      <c r="K817" s="3" t="s">
        <v>219</v>
      </c>
      <c r="L817" s="12">
        <v>616400</v>
      </c>
      <c r="M817" s="11">
        <v>1637902</v>
      </c>
    </row>
    <row r="818" spans="1:13">
      <c r="A818" s="15">
        <v>46235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7">
        <f>IFERROR(VLOOKUP(F818,Hoja2!$K$2:$M$1198,2,FALSE),0)</f>
        <v>41001000</v>
      </c>
      <c r="H818" s="17">
        <f>IFERROR(VLOOKUP(F818,Hoja2!$K$2:$M$1198,3,FALSE),0)</f>
        <v>54001000</v>
      </c>
      <c r="I818" s="3" t="s">
        <v>7</v>
      </c>
      <c r="J818" s="3" t="s">
        <v>217</v>
      </c>
      <c r="K818" s="3" t="s">
        <v>219</v>
      </c>
      <c r="L818" s="12">
        <v>616420</v>
      </c>
      <c r="M818" s="11">
        <v>4025070</v>
      </c>
    </row>
    <row r="819" spans="1:13">
      <c r="A819" s="15">
        <v>46235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7">
        <f>IFERROR(VLOOKUP(F819,Hoja2!$K$2:$M$1198,2,FALSE),0)</f>
        <v>41001000</v>
      </c>
      <c r="H819" s="17">
        <f>IFERROR(VLOOKUP(F819,Hoja2!$K$2:$M$1198,3,FALSE),0)</f>
        <v>68001000</v>
      </c>
      <c r="I819" s="3" t="s">
        <v>7</v>
      </c>
      <c r="J819" s="3" t="s">
        <v>217</v>
      </c>
      <c r="K819" s="3" t="s">
        <v>219</v>
      </c>
      <c r="L819" s="12">
        <v>616420</v>
      </c>
      <c r="M819" s="11">
        <v>2898299</v>
      </c>
    </row>
    <row r="820" spans="1:13">
      <c r="A820" s="15">
        <v>46235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7">
        <f>IFERROR(VLOOKUP(F820,Hoja2!$K$2:$M$1198,2,FALSE),0)</f>
        <v>41001000</v>
      </c>
      <c r="H820" s="17">
        <f>IFERROR(VLOOKUP(F820,Hoja2!$K$2:$M$1198,3,FALSE),0)</f>
        <v>50001000</v>
      </c>
      <c r="I820" s="3" t="s">
        <v>7</v>
      </c>
      <c r="J820" s="3" t="s">
        <v>217</v>
      </c>
      <c r="K820" s="3" t="s">
        <v>219</v>
      </c>
      <c r="L820" s="12">
        <v>643671</v>
      </c>
      <c r="M820" s="11">
        <v>1872097</v>
      </c>
    </row>
    <row r="821" spans="1:13">
      <c r="A821" s="15">
        <v>46235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7">
        <f>IFERROR(VLOOKUP(F821,Hoja2!$K$2:$M$1198,2,FALSE),0)</f>
        <v>41001000</v>
      </c>
      <c r="H821" s="17">
        <f>IFERROR(VLOOKUP(F821,Hoja2!$K$2:$M$1198,3,FALSE),0)</f>
        <v>66170000</v>
      </c>
      <c r="I821" s="3" t="s">
        <v>7</v>
      </c>
      <c r="J821" s="3" t="s">
        <v>217</v>
      </c>
      <c r="K821" s="3" t="s">
        <v>219</v>
      </c>
      <c r="L821" s="12">
        <v>717000</v>
      </c>
      <c r="M821" s="11">
        <v>1668179</v>
      </c>
    </row>
    <row r="822" spans="1:13">
      <c r="A822" s="15">
        <v>46235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7">
        <f>IFERROR(VLOOKUP(F822,Hoja2!$K$2:$M$1198,2,FALSE),0)</f>
        <v>41001000</v>
      </c>
      <c r="H822" s="17">
        <f>IFERROR(VLOOKUP(F822,Hoja2!$K$2:$M$1198,3,FALSE),0)</f>
        <v>8433000</v>
      </c>
      <c r="I822" s="3" t="s">
        <v>7</v>
      </c>
      <c r="J822" s="3" t="s">
        <v>217</v>
      </c>
      <c r="K822" s="3" t="s">
        <v>219</v>
      </c>
      <c r="L822" s="12">
        <v>616420</v>
      </c>
      <c r="M822" s="11">
        <v>2966704</v>
      </c>
    </row>
    <row r="823" spans="1:13">
      <c r="A823" s="15">
        <v>46235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7">
        <f>IFERROR(VLOOKUP(F823,Hoja2!$K$2:$M$1198,2,FALSE),0)</f>
        <v>41001000</v>
      </c>
      <c r="H823" s="17">
        <f>IFERROR(VLOOKUP(F823,Hoja2!$K$2:$M$1198,3,FALSE),0)</f>
        <v>76892000</v>
      </c>
      <c r="I823" s="3" t="s">
        <v>7</v>
      </c>
      <c r="J823" s="3" t="s">
        <v>217</v>
      </c>
      <c r="K823" s="3" t="s">
        <v>219</v>
      </c>
      <c r="L823" s="12">
        <v>616420</v>
      </c>
      <c r="M823" s="11">
        <v>2042231</v>
      </c>
    </row>
    <row r="824" spans="1:13">
      <c r="A824" s="15">
        <v>46235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7">
        <f>IFERROR(VLOOKUP(F824,Hoja2!$K$2:$M$1198,2,FALSE),0)</f>
        <v>52001000</v>
      </c>
      <c r="H824" s="17">
        <f>IFERROR(VLOOKUP(F824,Hoja2!$K$2:$M$1198,3,FALSE),0)</f>
        <v>19142000</v>
      </c>
      <c r="I824" s="3" t="s">
        <v>7</v>
      </c>
      <c r="J824" s="3" t="s">
        <v>217</v>
      </c>
      <c r="K824" s="3" t="s">
        <v>219</v>
      </c>
      <c r="L824" s="12">
        <v>632092</v>
      </c>
      <c r="M824" s="11">
        <v>1787699</v>
      </c>
    </row>
    <row r="825" spans="1:13">
      <c r="A825" s="15">
        <v>46235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7">
        <f>IFERROR(VLOOKUP(F825,Hoja2!$K$2:$M$1198,2,FALSE),0)</f>
        <v>52001000</v>
      </c>
      <c r="H825" s="17">
        <f>IFERROR(VLOOKUP(F825,Hoja2!$K$2:$M$1198,3,FALSE),0)</f>
        <v>52356000</v>
      </c>
      <c r="I825" s="3" t="s">
        <v>7</v>
      </c>
      <c r="J825" s="3" t="s">
        <v>217</v>
      </c>
      <c r="K825" s="3" t="s">
        <v>219</v>
      </c>
      <c r="L825" s="12">
        <v>702344</v>
      </c>
      <c r="M825" s="11">
        <v>807069</v>
      </c>
    </row>
    <row r="826" spans="1:13">
      <c r="A826" s="15">
        <v>46235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7">
        <f>IFERROR(VLOOKUP(F826,Hoja2!$K$2:$M$1198,2,FALSE),0)</f>
        <v>52001000</v>
      </c>
      <c r="H826" s="17">
        <f>IFERROR(VLOOKUP(F826,Hoja2!$K$2:$M$1198,3,FALSE),0)</f>
        <v>52835000</v>
      </c>
      <c r="I826" s="3" t="s">
        <v>7</v>
      </c>
      <c r="J826" s="3" t="s">
        <v>217</v>
      </c>
      <c r="K826" s="3" t="s">
        <v>219</v>
      </c>
      <c r="L826" s="12">
        <v>745344</v>
      </c>
      <c r="M826" s="11">
        <v>1576164</v>
      </c>
    </row>
    <row r="827" spans="1:13">
      <c r="A827" s="15">
        <v>46235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7">
        <f>IFERROR(VLOOKUP(F827,Hoja2!$K$2:$M$1198,2,FALSE),0)</f>
        <v>52001000</v>
      </c>
      <c r="H827" s="17">
        <f>IFERROR(VLOOKUP(F827,Hoja2!$K$2:$M$1198,3,FALSE),0)</f>
        <v>11001000</v>
      </c>
      <c r="I827" s="3" t="s">
        <v>7</v>
      </c>
      <c r="J827" s="3" t="s">
        <v>217</v>
      </c>
      <c r="K827" s="3" t="s">
        <v>219</v>
      </c>
      <c r="L827" s="12">
        <v>632072</v>
      </c>
      <c r="M827" s="11">
        <v>3795661</v>
      </c>
    </row>
    <row r="828" spans="1:13">
      <c r="A828" s="15">
        <v>46235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7">
        <f>IFERROR(VLOOKUP(F828,Hoja2!$K$2:$M$1198,2,FALSE),0)</f>
        <v>50001000</v>
      </c>
      <c r="H828" s="17">
        <f>IFERROR(VLOOKUP(F828,Hoja2!$K$2:$M$1198,3,FALSE),0)</f>
        <v>15238000</v>
      </c>
      <c r="I828" s="3" t="s">
        <v>7</v>
      </c>
      <c r="J828" s="3" t="s">
        <v>217</v>
      </c>
      <c r="K828" s="3" t="s">
        <v>219</v>
      </c>
      <c r="L828" s="12">
        <v>642384</v>
      </c>
      <c r="M828" s="11">
        <v>1632265</v>
      </c>
    </row>
    <row r="829" spans="1:13">
      <c r="A829" s="15">
        <v>46235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7">
        <f>IFERROR(VLOOKUP(F829,Hoja2!$K$2:$M$1198,2,FALSE),0)</f>
        <v>50001000</v>
      </c>
      <c r="H829" s="17">
        <f>IFERROR(VLOOKUP(F829,Hoja2!$K$2:$M$1198,3,FALSE),0)</f>
        <v>76111000</v>
      </c>
      <c r="I829" s="3" t="s">
        <v>7</v>
      </c>
      <c r="J829" s="3" t="s">
        <v>217</v>
      </c>
      <c r="K829" s="3" t="s">
        <v>219</v>
      </c>
      <c r="L829" s="12">
        <v>721390</v>
      </c>
      <c r="M829" s="11">
        <v>2543277</v>
      </c>
    </row>
    <row r="830" spans="1:13">
      <c r="A830" s="15">
        <v>46235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7">
        <f>IFERROR(VLOOKUP(F830,Hoja2!$K$2:$M$1198,2,FALSE),0)</f>
        <v>50001000</v>
      </c>
      <c r="H830" s="17">
        <f>IFERROR(VLOOKUP(F830,Hoja2!$K$2:$M$1198,3,FALSE),0)</f>
        <v>25799000</v>
      </c>
      <c r="I830" s="3" t="s">
        <v>7</v>
      </c>
      <c r="J830" s="3" t="s">
        <v>217</v>
      </c>
      <c r="K830" s="3" t="s">
        <v>219</v>
      </c>
      <c r="L830" s="12">
        <v>552955</v>
      </c>
      <c r="M830" s="11">
        <v>873289</v>
      </c>
    </row>
    <row r="831" spans="1:13">
      <c r="A831" s="15">
        <v>46235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7">
        <f>IFERROR(VLOOKUP(F831,Hoja2!$K$2:$M$1198,2,FALSE),0)</f>
        <v>50001000</v>
      </c>
      <c r="H831" s="17">
        <f>IFERROR(VLOOKUP(F831,Hoja2!$K$2:$M$1198,3,FALSE),0)</f>
        <v>15238000</v>
      </c>
      <c r="I831" s="3" t="s">
        <v>7</v>
      </c>
      <c r="J831" s="3" t="s">
        <v>217</v>
      </c>
      <c r="K831" s="3" t="s">
        <v>219</v>
      </c>
      <c r="L831" s="12">
        <v>583043</v>
      </c>
      <c r="M831" s="11">
        <v>1507586</v>
      </c>
    </row>
    <row r="832" spans="1:13">
      <c r="A832" s="15">
        <v>46235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7">
        <f>IFERROR(VLOOKUP(F832,Hoja2!$K$2:$M$1198,2,FALSE),0)</f>
        <v>50001000</v>
      </c>
      <c r="H832" s="17">
        <f>IFERROR(VLOOKUP(F832,Hoja2!$K$2:$M$1198,3,FALSE),0)</f>
        <v>11001000</v>
      </c>
      <c r="I832" s="3" t="s">
        <v>7</v>
      </c>
      <c r="J832" s="3" t="s">
        <v>217</v>
      </c>
      <c r="K832" s="3" t="s">
        <v>219</v>
      </c>
      <c r="L832" s="12">
        <v>1068101</v>
      </c>
      <c r="M832" s="11">
        <v>911596</v>
      </c>
    </row>
    <row r="833" spans="1:13">
      <c r="A833" s="15">
        <v>46235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7">
        <f>IFERROR(VLOOKUP(F833,Hoja2!$K$2:$M$1198,2,FALSE),0)</f>
        <v>50001000</v>
      </c>
      <c r="H833" s="17">
        <f>IFERROR(VLOOKUP(F833,Hoja2!$K$2:$M$1198,3,FALSE),0)</f>
        <v>73001000</v>
      </c>
      <c r="I833" s="3" t="s">
        <v>7</v>
      </c>
      <c r="J833" s="3" t="s">
        <v>217</v>
      </c>
      <c r="K833" s="3" t="s">
        <v>219</v>
      </c>
      <c r="L833" s="12">
        <v>552955</v>
      </c>
      <c r="M833" s="11">
        <v>1619796</v>
      </c>
    </row>
    <row r="834" spans="1:13">
      <c r="A834" s="15">
        <v>46235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7">
        <f>IFERROR(VLOOKUP(F834,Hoja2!$K$2:$M$1198,2,FALSE),0)</f>
        <v>50001000</v>
      </c>
      <c r="H834" s="17">
        <f>IFERROR(VLOOKUP(F834,Hoja2!$K$2:$M$1198,3,FALSE),0)</f>
        <v>11001000</v>
      </c>
      <c r="I834" s="3" t="s">
        <v>7</v>
      </c>
      <c r="J834" s="3" t="s">
        <v>217</v>
      </c>
      <c r="K834" s="3" t="s">
        <v>219</v>
      </c>
      <c r="L834" s="12">
        <v>1068501</v>
      </c>
      <c r="M834" s="11">
        <v>1628566</v>
      </c>
    </row>
    <row r="835" spans="1:13">
      <c r="A835" s="15">
        <v>46235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7">
        <f>IFERROR(VLOOKUP(F835,Hoja2!$K$2:$M$1198,2,FALSE),0)</f>
        <v>50001000</v>
      </c>
      <c r="H835" s="17">
        <f>IFERROR(VLOOKUP(F835,Hoja2!$K$2:$M$1198,3,FALSE),0)</f>
        <v>11001000</v>
      </c>
      <c r="I835" s="3" t="s">
        <v>7</v>
      </c>
      <c r="J835" s="3" t="s">
        <v>217</v>
      </c>
      <c r="K835" s="3" t="s">
        <v>219</v>
      </c>
      <c r="L835" s="12">
        <v>1068501</v>
      </c>
      <c r="M835" s="11">
        <v>1006536</v>
      </c>
    </row>
    <row r="836" spans="1:13">
      <c r="A836" s="15">
        <v>46235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7">
        <f>IFERROR(VLOOKUP(F836,Hoja2!$K$2:$M$1198,2,FALSE),0)</f>
        <v>50001000</v>
      </c>
      <c r="H836" s="17">
        <f>IFERROR(VLOOKUP(F836,Hoja2!$K$2:$M$1198,3,FALSE),0)</f>
        <v>25430000</v>
      </c>
      <c r="I836" s="3" t="s">
        <v>7</v>
      </c>
      <c r="J836" s="3" t="s">
        <v>217</v>
      </c>
      <c r="K836" s="3" t="s">
        <v>219</v>
      </c>
      <c r="L836" s="12">
        <v>552955</v>
      </c>
      <c r="M836" s="11">
        <v>879610</v>
      </c>
    </row>
    <row r="837" spans="1:13">
      <c r="A837" s="15">
        <v>46235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7">
        <f>IFERROR(VLOOKUP(F837,Hoja2!$K$2:$M$1198,2,FALSE),0)</f>
        <v>50001000</v>
      </c>
      <c r="H837" s="17">
        <f>IFERROR(VLOOKUP(F837,Hoja2!$K$2:$M$1198,3,FALSE),0)</f>
        <v>73001000</v>
      </c>
      <c r="I837" s="3" t="s">
        <v>7</v>
      </c>
      <c r="J837" s="3" t="s">
        <v>217</v>
      </c>
      <c r="K837" s="3" t="s">
        <v>219</v>
      </c>
      <c r="L837" s="12">
        <v>1179171</v>
      </c>
      <c r="M837" s="11">
        <v>1562444</v>
      </c>
    </row>
    <row r="838" spans="1:13">
      <c r="A838" s="15">
        <v>46235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7">
        <f>IFERROR(VLOOKUP(F838,Hoja2!$K$2:$M$1198,2,FALSE),0)</f>
        <v>50001000</v>
      </c>
      <c r="H838" s="17">
        <f>IFERROR(VLOOKUP(F838,Hoja2!$K$2:$M$1198,3,FALSE),0)</f>
        <v>11001000</v>
      </c>
      <c r="I838" s="3" t="s">
        <v>7</v>
      </c>
      <c r="J838" s="3" t="s">
        <v>217</v>
      </c>
      <c r="K838" s="3" t="s">
        <v>219</v>
      </c>
      <c r="L838" s="12">
        <v>1068501</v>
      </c>
      <c r="M838" s="11">
        <v>1106279</v>
      </c>
    </row>
    <row r="839" spans="1:13">
      <c r="A839" s="15">
        <v>46235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7">
        <f>IFERROR(VLOOKUP(F839,Hoja2!$K$2:$M$1198,2,FALSE),0)</f>
        <v>50001000</v>
      </c>
      <c r="H839" s="17">
        <f>IFERROR(VLOOKUP(F839,Hoja2!$K$2:$M$1198,3,FALSE),0)</f>
        <v>85001000</v>
      </c>
      <c r="I839" s="3" t="s">
        <v>7</v>
      </c>
      <c r="J839" s="3" t="s">
        <v>217</v>
      </c>
      <c r="K839" s="3" t="s">
        <v>219</v>
      </c>
      <c r="L839" s="12">
        <v>633742</v>
      </c>
      <c r="M839" s="11">
        <v>1463230</v>
      </c>
    </row>
    <row r="840" spans="1:13">
      <c r="A840" s="15">
        <v>46235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7">
        <f>IFERROR(VLOOKUP(F840,Hoja2!$K$2:$M$1198,2,FALSE),0)</f>
        <v>50001000</v>
      </c>
      <c r="H840" s="17">
        <f>IFERROR(VLOOKUP(F840,Hoja2!$K$2:$M$1198,3,FALSE),0)</f>
        <v>11001000</v>
      </c>
      <c r="I840" s="3" t="s">
        <v>7</v>
      </c>
      <c r="J840" s="3" t="s">
        <v>217</v>
      </c>
      <c r="K840" s="3" t="s">
        <v>219</v>
      </c>
      <c r="L840" s="12">
        <v>583043</v>
      </c>
      <c r="M840" s="11">
        <v>980763</v>
      </c>
    </row>
    <row r="841" spans="1:13">
      <c r="A841" s="15">
        <v>46235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7">
        <f>IFERROR(VLOOKUP(F841,Hoja2!$K$2:$M$1198,2,FALSE),0)</f>
        <v>0</v>
      </c>
      <c r="H841" s="17">
        <f>IFERROR(VLOOKUP(F841,Hoja2!$K$2:$M$1198,3,FALSE),0)</f>
        <v>0</v>
      </c>
      <c r="I841" s="3" t="s">
        <v>7</v>
      </c>
      <c r="J841" s="3" t="s">
        <v>217</v>
      </c>
      <c r="K841" s="3" t="s">
        <v>219</v>
      </c>
      <c r="L841" s="12">
        <v>559173</v>
      </c>
      <c r="M841" s="11">
        <v>1034567</v>
      </c>
    </row>
    <row r="842" spans="1:13">
      <c r="A842" s="15">
        <v>46235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7">
        <f>IFERROR(VLOOKUP(F842,Hoja2!$K$2:$M$1198,2,FALSE),0)</f>
        <v>50001000</v>
      </c>
      <c r="H842" s="17">
        <f>IFERROR(VLOOKUP(F842,Hoja2!$K$2:$M$1198,3,FALSE),0)</f>
        <v>11001000</v>
      </c>
      <c r="I842" s="3" t="s">
        <v>7</v>
      </c>
      <c r="J842" s="3" t="s">
        <v>217</v>
      </c>
      <c r="K842" s="3" t="s">
        <v>219</v>
      </c>
      <c r="L842" s="12">
        <v>618124</v>
      </c>
      <c r="M842" s="11">
        <v>827103</v>
      </c>
    </row>
    <row r="843" spans="1:13">
      <c r="A843" s="15">
        <v>46235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7">
        <f>IFERROR(VLOOKUP(F843,Hoja2!$K$2:$M$1198,2,FALSE),0)</f>
        <v>0</v>
      </c>
      <c r="H843" s="17">
        <f>IFERROR(VLOOKUP(F843,Hoja2!$K$2:$M$1198,3,FALSE),0)</f>
        <v>0</v>
      </c>
      <c r="I843" s="3" t="s">
        <v>7</v>
      </c>
      <c r="J843" s="3" t="s">
        <v>217</v>
      </c>
      <c r="K843" s="3" t="s">
        <v>219</v>
      </c>
      <c r="L843" s="12">
        <v>672338</v>
      </c>
      <c r="M843" s="11">
        <v>2566654</v>
      </c>
    </row>
    <row r="844" spans="1:13">
      <c r="A844" s="15">
        <v>46235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7">
        <f>IFERROR(VLOOKUP(F844,Hoja2!$K$2:$M$1198,2,FALSE),0)</f>
        <v>0</v>
      </c>
      <c r="H844" s="17">
        <f>IFERROR(VLOOKUP(F844,Hoja2!$K$2:$M$1198,3,FALSE),0)</f>
        <v>0</v>
      </c>
      <c r="I844" s="3" t="s">
        <v>7</v>
      </c>
      <c r="J844" s="3" t="s">
        <v>217</v>
      </c>
      <c r="K844" s="3" t="s">
        <v>219</v>
      </c>
      <c r="L844" s="12">
        <v>574758</v>
      </c>
      <c r="M844" s="11">
        <v>1961417</v>
      </c>
    </row>
    <row r="845" spans="1:13">
      <c r="A845" s="15">
        <v>46235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7">
        <f>IFERROR(VLOOKUP(F845,Hoja2!$K$2:$M$1198,2,FALSE),0)</f>
        <v>0</v>
      </c>
      <c r="H845" s="17">
        <f>IFERROR(VLOOKUP(F845,Hoja2!$K$2:$M$1198,3,FALSE),0)</f>
        <v>0</v>
      </c>
      <c r="I845" s="3" t="s">
        <v>7</v>
      </c>
      <c r="J845" s="3" t="s">
        <v>217</v>
      </c>
      <c r="K845" s="3" t="s">
        <v>219</v>
      </c>
      <c r="L845" s="12">
        <v>574758</v>
      </c>
      <c r="M845" s="11">
        <v>3051485</v>
      </c>
    </row>
    <row r="846" spans="1:13">
      <c r="A846" s="15">
        <v>46235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7">
        <f>IFERROR(VLOOKUP(F846,Hoja2!$K$2:$M$1198,2,FALSE),0)</f>
        <v>0</v>
      </c>
      <c r="H846" s="17">
        <f>IFERROR(VLOOKUP(F846,Hoja2!$K$2:$M$1198,3,FALSE),0)</f>
        <v>0</v>
      </c>
      <c r="I846" s="3" t="s">
        <v>7</v>
      </c>
      <c r="J846" s="3" t="s">
        <v>217</v>
      </c>
      <c r="K846" s="3" t="s">
        <v>219</v>
      </c>
      <c r="L846" s="12">
        <v>473606</v>
      </c>
      <c r="M846" s="11">
        <v>2063653</v>
      </c>
    </row>
    <row r="847" spans="1:13">
      <c r="A847" s="15">
        <v>46235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7">
        <f>IFERROR(VLOOKUP(F847,Hoja2!$K$2:$M$1198,2,FALSE),0)</f>
        <v>0</v>
      </c>
      <c r="H847" s="17">
        <f>IFERROR(VLOOKUP(F847,Hoja2!$K$2:$M$1198,3,FALSE),0)</f>
        <v>0</v>
      </c>
      <c r="I847" s="3" t="s">
        <v>7</v>
      </c>
      <c r="J847" s="3" t="s">
        <v>217</v>
      </c>
      <c r="K847" s="3" t="s">
        <v>219</v>
      </c>
      <c r="L847" s="12">
        <v>497385</v>
      </c>
      <c r="M847" s="11">
        <v>2038718</v>
      </c>
    </row>
    <row r="848" spans="1:13">
      <c r="A848" s="15">
        <v>46235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7">
        <f>IFERROR(VLOOKUP(F848,Hoja2!$K$2:$M$1198,2,FALSE),0)</f>
        <v>0</v>
      </c>
      <c r="H848" s="17">
        <f>IFERROR(VLOOKUP(F848,Hoja2!$K$2:$M$1198,3,FALSE),0)</f>
        <v>0</v>
      </c>
      <c r="I848" s="3" t="s">
        <v>7</v>
      </c>
      <c r="J848" s="3" t="s">
        <v>217</v>
      </c>
      <c r="K848" s="3" t="s">
        <v>219</v>
      </c>
      <c r="L848" s="12">
        <v>497385</v>
      </c>
      <c r="M848" s="11">
        <v>2063654</v>
      </c>
    </row>
    <row r="849" spans="1:13">
      <c r="A849" s="15">
        <v>46235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7">
        <f>IFERROR(VLOOKUP(F849,Hoja2!$K$2:$M$1198,2,FALSE),0)</f>
        <v>0</v>
      </c>
      <c r="H849" s="17">
        <f>IFERROR(VLOOKUP(F849,Hoja2!$K$2:$M$1198,3,FALSE),0)</f>
        <v>0</v>
      </c>
      <c r="I849" s="3" t="s">
        <v>7</v>
      </c>
      <c r="J849" s="3" t="s">
        <v>217</v>
      </c>
      <c r="K849" s="3" t="s">
        <v>219</v>
      </c>
      <c r="L849" s="12">
        <v>497406</v>
      </c>
      <c r="M849" s="11">
        <v>1968897</v>
      </c>
    </row>
    <row r="850" spans="1:13">
      <c r="A850" s="15">
        <v>46235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7">
        <f>IFERROR(VLOOKUP(F850,Hoja2!$K$2:$M$1198,2,FALSE),0)</f>
        <v>0</v>
      </c>
      <c r="H850" s="17">
        <f>IFERROR(VLOOKUP(F850,Hoja2!$K$2:$M$1198,3,FALSE),0)</f>
        <v>0</v>
      </c>
      <c r="I850" s="3" t="s">
        <v>7</v>
      </c>
      <c r="J850" s="3" t="s">
        <v>217</v>
      </c>
      <c r="K850" s="3" t="s">
        <v>219</v>
      </c>
      <c r="L850" s="12">
        <v>420772</v>
      </c>
      <c r="M850" s="11">
        <v>2642539</v>
      </c>
    </row>
    <row r="851" spans="1:13">
      <c r="A851" s="15">
        <v>46235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7">
        <f>IFERROR(VLOOKUP(F851,Hoja2!$K$2:$M$1198,2,FALSE),0)</f>
        <v>0</v>
      </c>
      <c r="H851" s="17">
        <f>IFERROR(VLOOKUP(F851,Hoja2!$K$2:$M$1198,3,FALSE),0)</f>
        <v>0</v>
      </c>
      <c r="I851" s="3" t="s">
        <v>7</v>
      </c>
      <c r="J851" s="3" t="s">
        <v>217</v>
      </c>
      <c r="K851" s="3" t="s">
        <v>219</v>
      </c>
      <c r="L851" s="12">
        <v>518800</v>
      </c>
      <c r="M851" s="11">
        <v>2221826</v>
      </c>
    </row>
    <row r="852" spans="1:13">
      <c r="A852" s="15">
        <v>46235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7">
        <f>IFERROR(VLOOKUP(F852,Hoja2!$K$2:$M$1198,2,FALSE),0)</f>
        <v>0</v>
      </c>
      <c r="H852" s="17">
        <f>IFERROR(VLOOKUP(F852,Hoja2!$K$2:$M$1198,3,FALSE),0)</f>
        <v>0</v>
      </c>
      <c r="I852" s="3" t="s">
        <v>7</v>
      </c>
      <c r="J852" s="3" t="s">
        <v>217</v>
      </c>
      <c r="K852" s="3" t="s">
        <v>219</v>
      </c>
      <c r="L852" s="12">
        <v>518820</v>
      </c>
      <c r="M852" s="11">
        <v>2694904</v>
      </c>
    </row>
    <row r="853" spans="1:13">
      <c r="A853" s="15">
        <v>46235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7">
        <f>IFERROR(VLOOKUP(F853,Hoja2!$K$2:$M$1198,2,FALSE),0)</f>
        <v>0</v>
      </c>
      <c r="H853" s="17">
        <f>IFERROR(VLOOKUP(F853,Hoja2!$K$2:$M$1198,3,FALSE),0)</f>
        <v>0</v>
      </c>
      <c r="I853" s="3" t="s">
        <v>7</v>
      </c>
      <c r="J853" s="3" t="s">
        <v>217</v>
      </c>
      <c r="K853" s="3" t="s">
        <v>219</v>
      </c>
      <c r="L853" s="12">
        <v>518820</v>
      </c>
      <c r="M853" s="11">
        <v>2540302</v>
      </c>
    </row>
    <row r="854" spans="1:13">
      <c r="A854" s="15">
        <v>46235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7">
        <f>IFERROR(VLOOKUP(F854,Hoja2!$K$2:$M$1198,2,FALSE),0)</f>
        <v>0</v>
      </c>
      <c r="H854" s="17">
        <f>IFERROR(VLOOKUP(F854,Hoja2!$K$2:$M$1198,3,FALSE),0)</f>
        <v>0</v>
      </c>
      <c r="I854" s="3" t="s">
        <v>7</v>
      </c>
      <c r="J854" s="3" t="s">
        <v>217</v>
      </c>
      <c r="K854" s="3" t="s">
        <v>219</v>
      </c>
      <c r="L854" s="12">
        <v>420772</v>
      </c>
      <c r="M854" s="11">
        <v>2060082</v>
      </c>
    </row>
    <row r="855" spans="1:13">
      <c r="A855" s="15">
        <v>46235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7">
        <f>IFERROR(VLOOKUP(F855,Hoja2!$K$2:$M$1198,2,FALSE),0)</f>
        <v>0</v>
      </c>
      <c r="H855" s="17">
        <f>IFERROR(VLOOKUP(F855,Hoja2!$K$2:$M$1198,3,FALSE),0)</f>
        <v>0</v>
      </c>
      <c r="I855" s="3" t="s">
        <v>7</v>
      </c>
      <c r="J855" s="3" t="s">
        <v>217</v>
      </c>
      <c r="K855" s="3" t="s">
        <v>219</v>
      </c>
      <c r="L855" s="12">
        <v>479723</v>
      </c>
      <c r="M855" s="11">
        <v>1754609</v>
      </c>
    </row>
    <row r="856" spans="1:13">
      <c r="A856" s="15">
        <v>46235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7">
        <f>IFERROR(VLOOKUP(F856,Hoja2!$K$2:$M$1198,2,FALSE),0)</f>
        <v>0</v>
      </c>
      <c r="H856" s="17">
        <f>IFERROR(VLOOKUP(F856,Hoja2!$K$2:$M$1198,3,FALSE),0)</f>
        <v>0</v>
      </c>
      <c r="I856" s="3" t="s">
        <v>7</v>
      </c>
      <c r="J856" s="3" t="s">
        <v>217</v>
      </c>
      <c r="K856" s="3" t="s">
        <v>219</v>
      </c>
      <c r="L856" s="12">
        <v>479723</v>
      </c>
      <c r="M856" s="11">
        <v>2053679</v>
      </c>
    </row>
    <row r="857" spans="1:13">
      <c r="A857" s="15">
        <v>46235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7">
        <f>IFERROR(VLOOKUP(F857,Hoja2!$K$2:$M$1198,2,FALSE),0)</f>
        <v>0</v>
      </c>
      <c r="H857" s="17">
        <f>IFERROR(VLOOKUP(F857,Hoja2!$K$2:$M$1198,3,FALSE),0)</f>
        <v>0</v>
      </c>
      <c r="I857" s="3" t="s">
        <v>7</v>
      </c>
      <c r="J857" s="3" t="s">
        <v>217</v>
      </c>
      <c r="K857" s="3" t="s">
        <v>219</v>
      </c>
      <c r="L857" s="12">
        <v>479498</v>
      </c>
      <c r="M857" s="11">
        <v>441607</v>
      </c>
    </row>
    <row r="858" spans="1:13">
      <c r="A858" s="15">
        <v>46235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7">
        <f>IFERROR(VLOOKUP(F858,Hoja2!$K$2:$M$1198,2,FALSE),0)</f>
        <v>0</v>
      </c>
      <c r="H858" s="17">
        <f>IFERROR(VLOOKUP(F858,Hoja2!$K$2:$M$1198,3,FALSE),0)</f>
        <v>0</v>
      </c>
      <c r="I858" s="3" t="s">
        <v>7</v>
      </c>
      <c r="J858" s="3" t="s">
        <v>217</v>
      </c>
      <c r="K858" s="3" t="s">
        <v>219</v>
      </c>
      <c r="L858" s="12">
        <v>429807</v>
      </c>
      <c r="M858" s="11">
        <v>2978094</v>
      </c>
    </row>
    <row r="859" spans="1:13">
      <c r="A859" s="15">
        <v>46235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7">
        <f>IFERROR(VLOOKUP(F859,Hoja2!$K$2:$M$1198,2,FALSE),0)</f>
        <v>0</v>
      </c>
      <c r="H859" s="17">
        <f>IFERROR(VLOOKUP(F859,Hoja2!$K$2:$M$1198,3,FALSE),0)</f>
        <v>0</v>
      </c>
      <c r="I859" s="3" t="s">
        <v>7</v>
      </c>
      <c r="J859" s="3" t="s">
        <v>217</v>
      </c>
      <c r="K859" s="3" t="s">
        <v>219</v>
      </c>
      <c r="L859" s="12">
        <v>420772</v>
      </c>
      <c r="M859" s="11">
        <v>2081109</v>
      </c>
    </row>
    <row r="860" spans="1:13">
      <c r="A860" s="15">
        <v>46235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7">
        <f>IFERROR(VLOOKUP(F860,Hoja2!$K$2:$M$1198,2,FALSE),0)</f>
        <v>0</v>
      </c>
      <c r="H860" s="17">
        <f>IFERROR(VLOOKUP(F860,Hoja2!$K$2:$M$1198,3,FALSE),0)</f>
        <v>0</v>
      </c>
      <c r="I860" s="3" t="s">
        <v>7</v>
      </c>
      <c r="J860" s="3" t="s">
        <v>217</v>
      </c>
      <c r="K860" s="3" t="s">
        <v>219</v>
      </c>
      <c r="L860" s="12">
        <v>574750</v>
      </c>
      <c r="M860" s="11">
        <v>2931793</v>
      </c>
    </row>
    <row r="861" spans="1:13">
      <c r="A861" s="15">
        <v>46235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7">
        <f>IFERROR(VLOOKUP(F861,Hoja2!$K$2:$M$1198,2,FALSE),0)</f>
        <v>0</v>
      </c>
      <c r="H861" s="17">
        <f>IFERROR(VLOOKUP(F861,Hoja2!$K$2:$M$1198,3,FALSE),0)</f>
        <v>0</v>
      </c>
      <c r="I861" s="3" t="s">
        <v>7</v>
      </c>
      <c r="J861" s="3" t="s">
        <v>217</v>
      </c>
      <c r="K861" s="3" t="s">
        <v>219</v>
      </c>
      <c r="L861" s="12">
        <v>518820</v>
      </c>
      <c r="M861" s="11">
        <v>595884</v>
      </c>
    </row>
    <row r="862" spans="1:13">
      <c r="A862" s="15">
        <v>46235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7">
        <f>IFERROR(VLOOKUP(F862,Hoja2!$K$2:$M$1198,2,FALSE),0)</f>
        <v>0</v>
      </c>
      <c r="H862" s="17">
        <f>IFERROR(VLOOKUP(F862,Hoja2!$K$2:$M$1198,3,FALSE),0)</f>
        <v>0</v>
      </c>
      <c r="I862" s="3" t="s">
        <v>7</v>
      </c>
      <c r="J862" s="3" t="s">
        <v>217</v>
      </c>
      <c r="K862" s="3" t="s">
        <v>219</v>
      </c>
      <c r="L862" s="12">
        <v>694925</v>
      </c>
      <c r="M862" s="11">
        <v>4168281</v>
      </c>
    </row>
    <row r="863" spans="1:13">
      <c r="A863" s="15">
        <v>46235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7">
        <f>IFERROR(VLOOKUP(F863,Hoja2!$K$2:$M$1198,2,FALSE),0)</f>
        <v>0</v>
      </c>
      <c r="H863" s="17">
        <f>IFERROR(VLOOKUP(F863,Hoja2!$K$2:$M$1198,3,FALSE),0)</f>
        <v>0</v>
      </c>
      <c r="I863" s="3" t="s">
        <v>7</v>
      </c>
      <c r="J863" s="3" t="s">
        <v>217</v>
      </c>
      <c r="K863" s="3" t="s">
        <v>219</v>
      </c>
      <c r="L863" s="12">
        <v>518800</v>
      </c>
      <c r="M863" s="11">
        <v>1879128</v>
      </c>
    </row>
    <row r="864" spans="1:13">
      <c r="A864" s="15">
        <v>46235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7">
        <f>IFERROR(VLOOKUP(F864,Hoja2!$K$2:$M$1198,2,FALSE),0)</f>
        <v>0</v>
      </c>
      <c r="H864" s="17">
        <f>IFERROR(VLOOKUP(F864,Hoja2!$K$2:$M$1198,3,FALSE),0)</f>
        <v>0</v>
      </c>
      <c r="I864" s="3" t="s">
        <v>7</v>
      </c>
      <c r="J864" s="3" t="s">
        <v>217</v>
      </c>
      <c r="K864" s="3" t="s">
        <v>219</v>
      </c>
      <c r="L864" s="12">
        <v>518800</v>
      </c>
      <c r="M864" s="11">
        <v>1969975</v>
      </c>
    </row>
    <row r="865" spans="1:13">
      <c r="A865" s="15">
        <v>46235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7">
        <f>IFERROR(VLOOKUP(F865,Hoja2!$K$2:$M$1198,2,FALSE),0)</f>
        <v>0</v>
      </c>
      <c r="H865" s="17">
        <f>IFERROR(VLOOKUP(F865,Hoja2!$K$2:$M$1198,3,FALSE),0)</f>
        <v>0</v>
      </c>
      <c r="I865" s="3" t="s">
        <v>7</v>
      </c>
      <c r="J865" s="3" t="s">
        <v>217</v>
      </c>
      <c r="K865" s="3" t="s">
        <v>219</v>
      </c>
      <c r="L865" s="12">
        <v>534290</v>
      </c>
      <c r="M865" s="11">
        <v>1946455</v>
      </c>
    </row>
    <row r="866" spans="1:13">
      <c r="A866" s="15">
        <v>46235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7">
        <f>IFERROR(VLOOKUP(F866,Hoja2!$K$2:$M$1198,2,FALSE),0)</f>
        <v>0</v>
      </c>
      <c r="H866" s="17">
        <f>IFERROR(VLOOKUP(F866,Hoja2!$K$2:$M$1198,3,FALSE),0)</f>
        <v>0</v>
      </c>
      <c r="I866" s="3" t="s">
        <v>7</v>
      </c>
      <c r="J866" s="3" t="s">
        <v>217</v>
      </c>
      <c r="K866" s="3" t="s">
        <v>219</v>
      </c>
      <c r="L866" s="12">
        <v>518820</v>
      </c>
      <c r="M866" s="11">
        <v>2022340</v>
      </c>
    </row>
    <row r="867" spans="1:13">
      <c r="A867" s="15">
        <v>46235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7">
        <f>IFERROR(VLOOKUP(F867,Hoja2!$K$2:$M$1198,2,FALSE),0)</f>
        <v>0</v>
      </c>
      <c r="H867" s="17">
        <f>IFERROR(VLOOKUP(F867,Hoja2!$K$2:$M$1198,3,FALSE),0)</f>
        <v>0</v>
      </c>
      <c r="I867" s="3" t="s">
        <v>7</v>
      </c>
      <c r="J867" s="3" t="s">
        <v>217</v>
      </c>
      <c r="K867" s="3" t="s">
        <v>219</v>
      </c>
      <c r="L867" s="12">
        <v>518820</v>
      </c>
      <c r="M867" s="11">
        <v>500223</v>
      </c>
    </row>
    <row r="868" spans="1:13">
      <c r="A868" s="15">
        <v>46235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7">
        <f>IFERROR(VLOOKUP(F868,Hoja2!$K$2:$M$1198,2,FALSE),0)</f>
        <v>0</v>
      </c>
      <c r="H868" s="17">
        <f>IFERROR(VLOOKUP(F868,Hoja2!$K$2:$M$1198,3,FALSE),0)</f>
        <v>0</v>
      </c>
      <c r="I868" s="3" t="s">
        <v>7</v>
      </c>
      <c r="J868" s="3" t="s">
        <v>217</v>
      </c>
      <c r="K868" s="3" t="s">
        <v>219</v>
      </c>
      <c r="L868" s="12">
        <v>518820</v>
      </c>
      <c r="M868" s="11">
        <v>3011588</v>
      </c>
    </row>
    <row r="869" spans="1:13">
      <c r="A869" s="15">
        <v>46235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7">
        <f>IFERROR(VLOOKUP(F869,Hoja2!$K$2:$M$1198,2,FALSE),0)</f>
        <v>0</v>
      </c>
      <c r="H869" s="17">
        <f>IFERROR(VLOOKUP(F869,Hoja2!$K$2:$M$1198,3,FALSE),0)</f>
        <v>0</v>
      </c>
      <c r="I869" s="3" t="s">
        <v>7</v>
      </c>
      <c r="J869" s="3" t="s">
        <v>217</v>
      </c>
      <c r="K869" s="3" t="s">
        <v>219</v>
      </c>
      <c r="L869" s="12">
        <v>518820</v>
      </c>
      <c r="M869" s="11">
        <v>2043704</v>
      </c>
    </row>
    <row r="870" spans="1:13">
      <c r="A870" s="15">
        <v>46235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7">
        <f>IFERROR(VLOOKUP(F870,Hoja2!$K$2:$M$1198,2,FALSE),0)</f>
        <v>0</v>
      </c>
      <c r="H870" s="17">
        <f>IFERROR(VLOOKUP(F870,Hoja2!$K$2:$M$1198,3,FALSE),0)</f>
        <v>0</v>
      </c>
      <c r="I870" s="3" t="s">
        <v>7</v>
      </c>
      <c r="J870" s="3" t="s">
        <v>217</v>
      </c>
      <c r="K870" s="3" t="s">
        <v>219</v>
      </c>
      <c r="L870" s="12">
        <v>867867</v>
      </c>
      <c r="M870" s="11">
        <v>650094</v>
      </c>
    </row>
    <row r="871" spans="1:13">
      <c r="A871" s="15">
        <v>46235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7">
        <f>IFERROR(VLOOKUP(F871,Hoja2!$K$2:$M$1198,2,FALSE),0)</f>
        <v>0</v>
      </c>
      <c r="H871" s="17">
        <f>IFERROR(VLOOKUP(F871,Hoja2!$K$2:$M$1198,3,FALSE),0)</f>
        <v>0</v>
      </c>
      <c r="I871" s="3" t="s">
        <v>7</v>
      </c>
      <c r="J871" s="3" t="s">
        <v>217</v>
      </c>
      <c r="K871" s="3" t="s">
        <v>219</v>
      </c>
      <c r="L871" s="12">
        <v>774169</v>
      </c>
      <c r="M871" s="11">
        <v>372355</v>
      </c>
    </row>
    <row r="872" spans="1:13">
      <c r="A872" s="15">
        <v>46235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7">
        <f>IFERROR(VLOOKUP(F872,Hoja2!$K$2:$M$1198,2,FALSE),0)</f>
        <v>0</v>
      </c>
      <c r="H872" s="17">
        <f>IFERROR(VLOOKUP(F872,Hoja2!$K$2:$M$1198,3,FALSE),0)</f>
        <v>0</v>
      </c>
      <c r="I872" s="3" t="s">
        <v>7</v>
      </c>
      <c r="J872" s="3" t="s">
        <v>217</v>
      </c>
      <c r="K872" s="3" t="s">
        <v>219</v>
      </c>
      <c r="L872" s="12">
        <v>660172</v>
      </c>
      <c r="M872" s="11">
        <v>4273012</v>
      </c>
    </row>
    <row r="873" spans="1:13">
      <c r="A873" s="15">
        <v>46235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7">
        <f>IFERROR(VLOOKUP(F873,Hoja2!$K$2:$M$1198,2,FALSE),0)</f>
        <v>0</v>
      </c>
      <c r="H873" s="17">
        <f>IFERROR(VLOOKUP(F873,Hoja2!$K$2:$M$1198,3,FALSE),0)</f>
        <v>0</v>
      </c>
      <c r="I873" s="3" t="s">
        <v>7</v>
      </c>
      <c r="J873" s="3" t="s">
        <v>217</v>
      </c>
      <c r="K873" s="3" t="s">
        <v>219</v>
      </c>
      <c r="L873" s="12">
        <v>1120880</v>
      </c>
      <c r="M873" s="11">
        <v>1599848</v>
      </c>
    </row>
    <row r="874" spans="1:13">
      <c r="A874" s="15">
        <v>46235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7">
        <f>IFERROR(VLOOKUP(F874,Hoja2!$K$2:$M$1198,2,FALSE),0)</f>
        <v>0</v>
      </c>
      <c r="H874" s="17">
        <f>IFERROR(VLOOKUP(F874,Hoja2!$K$2:$M$1198,3,FALSE),0)</f>
        <v>0</v>
      </c>
      <c r="I874" s="3" t="s">
        <v>7</v>
      </c>
      <c r="J874" s="3" t="s">
        <v>217</v>
      </c>
      <c r="K874" s="3" t="s">
        <v>219</v>
      </c>
      <c r="L874" s="12">
        <v>606016</v>
      </c>
      <c r="M874" s="11">
        <v>1669459</v>
      </c>
    </row>
    <row r="875" spans="1:13">
      <c r="A875" s="15">
        <v>46235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7">
        <f>IFERROR(VLOOKUP(F875,Hoja2!$K$2:$M$1198,2,FALSE),0)</f>
        <v>0</v>
      </c>
      <c r="H875" s="17">
        <f>IFERROR(VLOOKUP(F875,Hoja2!$K$2:$M$1198,3,FALSE),0)</f>
        <v>0</v>
      </c>
      <c r="I875" s="3" t="s">
        <v>7</v>
      </c>
      <c r="J875" s="3" t="s">
        <v>217</v>
      </c>
      <c r="K875" s="3" t="s">
        <v>219</v>
      </c>
      <c r="L875" s="12">
        <v>598870</v>
      </c>
      <c r="M875" s="11">
        <v>1799334</v>
      </c>
    </row>
    <row r="876" spans="1:13">
      <c r="A876" s="15">
        <v>46235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7">
        <f>IFERROR(VLOOKUP(F876,Hoja2!$K$2:$M$1198,2,FALSE),0)</f>
        <v>0</v>
      </c>
      <c r="H876" s="17">
        <f>IFERROR(VLOOKUP(F876,Hoja2!$K$2:$M$1198,3,FALSE),0)</f>
        <v>0</v>
      </c>
      <c r="I876" s="3" t="s">
        <v>7</v>
      </c>
      <c r="J876" s="3" t="s">
        <v>217</v>
      </c>
      <c r="K876" s="3" t="s">
        <v>219</v>
      </c>
      <c r="L876" s="12">
        <v>1257351</v>
      </c>
      <c r="M876" s="11">
        <v>3221049</v>
      </c>
    </row>
    <row r="877" spans="1:13">
      <c r="A877" s="15">
        <v>46235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7">
        <f>IFERROR(VLOOKUP(F877,Hoja2!$K$2:$M$1198,2,FALSE),0)</f>
        <v>0</v>
      </c>
      <c r="H877" s="17">
        <f>IFERROR(VLOOKUP(F877,Hoja2!$K$2:$M$1198,3,FALSE),0)</f>
        <v>0</v>
      </c>
      <c r="I877" s="3" t="s">
        <v>7</v>
      </c>
      <c r="J877" s="3" t="s">
        <v>217</v>
      </c>
      <c r="K877" s="3" t="s">
        <v>219</v>
      </c>
      <c r="L877" s="12">
        <v>598870</v>
      </c>
      <c r="M877" s="11">
        <v>5154334</v>
      </c>
    </row>
    <row r="878" spans="1:13">
      <c r="A878" s="15">
        <v>46235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7">
        <f>IFERROR(VLOOKUP(F878,Hoja2!$K$2:$M$1198,2,FALSE),0)</f>
        <v>0</v>
      </c>
      <c r="H878" s="17">
        <f>IFERROR(VLOOKUP(F878,Hoja2!$K$2:$M$1198,3,FALSE),0)</f>
        <v>0</v>
      </c>
      <c r="I878" s="3" t="s">
        <v>7</v>
      </c>
      <c r="J878" s="3" t="s">
        <v>217</v>
      </c>
      <c r="K878" s="3" t="s">
        <v>219</v>
      </c>
      <c r="L878" s="12">
        <v>597680</v>
      </c>
      <c r="M878" s="11">
        <v>2221826</v>
      </c>
    </row>
    <row r="879" spans="1:13">
      <c r="A879" s="15">
        <v>46235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7">
        <f>IFERROR(VLOOKUP(F879,Hoja2!$K$2:$M$1198,2,FALSE),0)</f>
        <v>0</v>
      </c>
      <c r="H879" s="17">
        <f>IFERROR(VLOOKUP(F879,Hoja2!$K$2:$M$1198,3,FALSE),0)</f>
        <v>0</v>
      </c>
      <c r="I879" s="3" t="s">
        <v>7</v>
      </c>
      <c r="J879" s="3" t="s">
        <v>217</v>
      </c>
      <c r="K879" s="3" t="s">
        <v>219</v>
      </c>
      <c r="L879" s="12">
        <v>575667</v>
      </c>
      <c r="M879" s="11">
        <v>613967</v>
      </c>
    </row>
    <row r="880" spans="1:13">
      <c r="A880" s="15">
        <v>46235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7">
        <f>IFERROR(VLOOKUP(F880,Hoja2!$K$2:$M$1198,2,FALSE),0)</f>
        <v>0</v>
      </c>
      <c r="H880" s="17">
        <f>IFERROR(VLOOKUP(F880,Hoja2!$K$2:$M$1198,3,FALSE),0)</f>
        <v>0</v>
      </c>
      <c r="I880" s="3" t="s">
        <v>7</v>
      </c>
      <c r="J880" s="3" t="s">
        <v>217</v>
      </c>
      <c r="K880" s="3" t="s">
        <v>219</v>
      </c>
      <c r="L880" s="12">
        <v>606241</v>
      </c>
      <c r="M880" s="11">
        <v>1748732</v>
      </c>
    </row>
    <row r="881" spans="1:13">
      <c r="A881" s="15">
        <v>46235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7">
        <f>IFERROR(VLOOKUP(F881,Hoja2!$K$2:$M$1198,2,FALSE),0)</f>
        <v>0</v>
      </c>
      <c r="H881" s="17">
        <f>IFERROR(VLOOKUP(F881,Hoja2!$K$2:$M$1198,3,FALSE),0)</f>
        <v>0</v>
      </c>
      <c r="I881" s="3" t="s">
        <v>7</v>
      </c>
      <c r="J881" s="3" t="s">
        <v>217</v>
      </c>
      <c r="K881" s="3" t="s">
        <v>219</v>
      </c>
      <c r="L881" s="12">
        <v>606241</v>
      </c>
      <c r="M881" s="11">
        <v>1744475</v>
      </c>
    </row>
    <row r="882" spans="1:13">
      <c r="A882" s="15">
        <v>46235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7">
        <f>IFERROR(VLOOKUP(F882,Hoja2!$K$2:$M$1198,2,FALSE),0)</f>
        <v>0</v>
      </c>
      <c r="H882" s="17">
        <f>IFERROR(VLOOKUP(F882,Hoja2!$K$2:$M$1198,3,FALSE),0)</f>
        <v>0</v>
      </c>
      <c r="I882" s="3" t="s">
        <v>7</v>
      </c>
      <c r="J882" s="3" t="s">
        <v>217</v>
      </c>
      <c r="K882" s="3" t="s">
        <v>219</v>
      </c>
      <c r="L882" s="12">
        <v>608897</v>
      </c>
      <c r="M882" s="11">
        <v>4215659</v>
      </c>
    </row>
    <row r="883" spans="1:13">
      <c r="A883" s="15">
        <v>46235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7">
        <f>IFERROR(VLOOKUP(F883,Hoja2!$K$2:$M$1198,2,FALSE),0)</f>
        <v>0</v>
      </c>
      <c r="H883" s="17">
        <f>IFERROR(VLOOKUP(F883,Hoja2!$K$2:$M$1198,3,FALSE),0)</f>
        <v>0</v>
      </c>
      <c r="I883" s="3" t="s">
        <v>7</v>
      </c>
      <c r="J883" s="3" t="s">
        <v>217</v>
      </c>
      <c r="K883" s="3" t="s">
        <v>219</v>
      </c>
      <c r="L883" s="12">
        <v>573999</v>
      </c>
      <c r="M883" s="11">
        <v>2615109</v>
      </c>
    </row>
    <row r="884" spans="1:13">
      <c r="A884" s="15">
        <v>46235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7">
        <f>IFERROR(VLOOKUP(F884,Hoja2!$K$2:$M$1198,2,FALSE),0)</f>
        <v>0</v>
      </c>
      <c r="H884" s="17">
        <f>IFERROR(VLOOKUP(F884,Hoja2!$K$2:$M$1198,3,FALSE),0)</f>
        <v>0</v>
      </c>
      <c r="I884" s="3" t="s">
        <v>7</v>
      </c>
      <c r="J884" s="3" t="s">
        <v>217</v>
      </c>
      <c r="K884" s="3" t="s">
        <v>219</v>
      </c>
      <c r="L884" s="12">
        <v>614340</v>
      </c>
      <c r="M884" s="11">
        <v>3024056</v>
      </c>
    </row>
    <row r="885" spans="1:13">
      <c r="A885" s="15">
        <v>46235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7">
        <f>IFERROR(VLOOKUP(F885,Hoja2!$K$2:$M$1198,2,FALSE),0)</f>
        <v>0</v>
      </c>
      <c r="H885" s="17">
        <f>IFERROR(VLOOKUP(F885,Hoja2!$K$2:$M$1198,3,FALSE),0)</f>
        <v>0</v>
      </c>
      <c r="I885" s="3" t="s">
        <v>7</v>
      </c>
      <c r="J885" s="3" t="s">
        <v>217</v>
      </c>
      <c r="K885" s="3" t="s">
        <v>219</v>
      </c>
      <c r="L885" s="12">
        <v>598870</v>
      </c>
      <c r="M885" s="11">
        <v>2929300</v>
      </c>
    </row>
    <row r="886" spans="1:13">
      <c r="A886" s="15">
        <v>46235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7">
        <f>IFERROR(VLOOKUP(F886,Hoja2!$K$2:$M$1198,2,FALSE),0)</f>
        <v>0</v>
      </c>
      <c r="H886" s="17">
        <f>IFERROR(VLOOKUP(F886,Hoja2!$K$2:$M$1198,3,FALSE),0)</f>
        <v>0</v>
      </c>
      <c r="I886" s="3" t="s">
        <v>7</v>
      </c>
      <c r="J886" s="3" t="s">
        <v>217</v>
      </c>
      <c r="K886" s="3" t="s">
        <v>219</v>
      </c>
      <c r="L886" s="12">
        <v>626906</v>
      </c>
      <c r="M886" s="11">
        <v>4395197</v>
      </c>
    </row>
    <row r="887" spans="1:13">
      <c r="A887" s="15">
        <v>46235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7">
        <f>IFERROR(VLOOKUP(F887,Hoja2!$K$2:$M$1198,2,FALSE),0)</f>
        <v>0</v>
      </c>
      <c r="H887" s="17">
        <f>IFERROR(VLOOKUP(F887,Hoja2!$K$2:$M$1198,3,FALSE),0)</f>
        <v>0</v>
      </c>
      <c r="I887" s="3" t="s">
        <v>7</v>
      </c>
      <c r="J887" s="3" t="s">
        <v>217</v>
      </c>
      <c r="K887" s="3" t="s">
        <v>219</v>
      </c>
      <c r="L887" s="12">
        <v>679473</v>
      </c>
      <c r="M887" s="11">
        <v>2094654</v>
      </c>
    </row>
    <row r="888" spans="1:13">
      <c r="A888" s="15">
        <v>46235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7">
        <f>IFERROR(VLOOKUP(F888,Hoja2!$K$2:$M$1198,2,FALSE),0)</f>
        <v>0</v>
      </c>
      <c r="H888" s="17">
        <f>IFERROR(VLOOKUP(F888,Hoja2!$K$2:$M$1198,3,FALSE),0)</f>
        <v>0</v>
      </c>
      <c r="I888" s="3" t="s">
        <v>7</v>
      </c>
      <c r="J888" s="3" t="s">
        <v>217</v>
      </c>
      <c r="K888" s="3" t="s">
        <v>219</v>
      </c>
      <c r="L888" s="12">
        <v>598870</v>
      </c>
      <c r="M888" s="11">
        <v>5285296</v>
      </c>
    </row>
    <row r="889" spans="1:13">
      <c r="A889" s="15">
        <v>46235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7">
        <f>IFERROR(VLOOKUP(F889,Hoja2!$K$2:$M$1198,2,FALSE),0)</f>
        <v>0</v>
      </c>
      <c r="H889" s="17">
        <f>IFERROR(VLOOKUP(F889,Hoja2!$K$2:$M$1198,3,FALSE),0)</f>
        <v>0</v>
      </c>
      <c r="I889" s="3" t="s">
        <v>7</v>
      </c>
      <c r="J889" s="3" t="s">
        <v>217</v>
      </c>
      <c r="K889" s="3" t="s">
        <v>219</v>
      </c>
      <c r="L889" s="12">
        <v>602315</v>
      </c>
      <c r="M889" s="11">
        <v>1683981</v>
      </c>
    </row>
    <row r="890" spans="1:13">
      <c r="A890" s="15">
        <v>46235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7">
        <f>IFERROR(VLOOKUP(F890,Hoja2!$K$2:$M$1198,2,FALSE),0)</f>
        <v>0</v>
      </c>
      <c r="H890" s="17">
        <f>IFERROR(VLOOKUP(F890,Hoja2!$K$2:$M$1198,3,FALSE),0)</f>
        <v>0</v>
      </c>
      <c r="I890" s="3" t="s">
        <v>7</v>
      </c>
      <c r="J890" s="3" t="s">
        <v>217</v>
      </c>
      <c r="K890" s="3" t="s">
        <v>219</v>
      </c>
      <c r="L890" s="12">
        <v>699450</v>
      </c>
      <c r="M890" s="11">
        <v>805589</v>
      </c>
    </row>
    <row r="891" spans="1:13">
      <c r="A891" s="15">
        <v>46235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7">
        <f>IFERROR(VLOOKUP(F891,Hoja2!$K$2:$M$1198,2,FALSE),0)</f>
        <v>0</v>
      </c>
      <c r="H891" s="17">
        <f>IFERROR(VLOOKUP(F891,Hoja2!$K$2:$M$1198,3,FALSE),0)</f>
        <v>0</v>
      </c>
      <c r="I891" s="3" t="s">
        <v>7</v>
      </c>
      <c r="J891" s="3" t="s">
        <v>217</v>
      </c>
      <c r="K891" s="3" t="s">
        <v>219</v>
      </c>
      <c r="L891" s="12">
        <v>417928</v>
      </c>
      <c r="M891" s="11">
        <v>389427</v>
      </c>
    </row>
    <row r="892" spans="1:13">
      <c r="A892" s="15">
        <v>46235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7">
        <f>IFERROR(VLOOKUP(F892,Hoja2!$K$2:$M$1198,2,FALSE),0)</f>
        <v>0</v>
      </c>
      <c r="H892" s="17">
        <f>IFERROR(VLOOKUP(F892,Hoja2!$K$2:$M$1198,3,FALSE),0)</f>
        <v>0</v>
      </c>
      <c r="I892" s="3" t="s">
        <v>7</v>
      </c>
      <c r="J892" s="3" t="s">
        <v>217</v>
      </c>
      <c r="K892" s="3" t="s">
        <v>219</v>
      </c>
      <c r="L892" s="12">
        <v>473858</v>
      </c>
      <c r="M892" s="11">
        <v>4239517</v>
      </c>
    </row>
    <row r="893" spans="1:13">
      <c r="A893" s="15">
        <v>46235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7">
        <f>IFERROR(VLOOKUP(F893,Hoja2!$K$2:$M$1198,2,FALSE),0)</f>
        <v>0</v>
      </c>
      <c r="H893" s="17">
        <f>IFERROR(VLOOKUP(F893,Hoja2!$K$2:$M$1198,3,FALSE),0)</f>
        <v>0</v>
      </c>
      <c r="I893" s="3" t="s">
        <v>7</v>
      </c>
      <c r="J893" s="3" t="s">
        <v>217</v>
      </c>
      <c r="K893" s="3" t="s">
        <v>219</v>
      </c>
      <c r="L893" s="12">
        <v>417928</v>
      </c>
      <c r="M893" s="11">
        <v>531753</v>
      </c>
    </row>
    <row r="894" spans="1:13">
      <c r="A894" s="15">
        <v>46235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7">
        <f>IFERROR(VLOOKUP(F894,Hoja2!$K$2:$M$1198,2,FALSE),0)</f>
        <v>0</v>
      </c>
      <c r="H894" s="17">
        <f>IFERROR(VLOOKUP(F894,Hoja2!$K$2:$M$1198,3,FALSE),0)</f>
        <v>0</v>
      </c>
      <c r="I894" s="3" t="s">
        <v>7</v>
      </c>
      <c r="J894" s="3" t="s">
        <v>217</v>
      </c>
      <c r="K894" s="3" t="s">
        <v>219</v>
      </c>
      <c r="L894" s="12">
        <v>417928</v>
      </c>
      <c r="M894" s="11">
        <v>4025070</v>
      </c>
    </row>
    <row r="895" spans="1:13">
      <c r="A895" s="15">
        <v>46235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7">
        <f>IFERROR(VLOOKUP(F895,Hoja2!$K$2:$M$1198,2,FALSE),0)</f>
        <v>0</v>
      </c>
      <c r="H895" s="17">
        <f>IFERROR(VLOOKUP(F895,Hoja2!$K$2:$M$1198,3,FALSE),0)</f>
        <v>0</v>
      </c>
      <c r="I895" s="3" t="s">
        <v>7</v>
      </c>
      <c r="J895" s="3" t="s">
        <v>217</v>
      </c>
      <c r="K895" s="3" t="s">
        <v>219</v>
      </c>
      <c r="L895" s="12">
        <v>394128</v>
      </c>
      <c r="M895" s="11">
        <v>422774</v>
      </c>
    </row>
    <row r="896" spans="1:13">
      <c r="A896" s="15">
        <v>46235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7">
        <f>IFERROR(VLOOKUP(F896,Hoja2!$K$2:$M$1198,2,FALSE),0)</f>
        <v>0</v>
      </c>
      <c r="H896" s="17">
        <f>IFERROR(VLOOKUP(F896,Hoja2!$K$2:$M$1198,3,FALSE),0)</f>
        <v>0</v>
      </c>
      <c r="I896" s="3" t="s">
        <v>7</v>
      </c>
      <c r="J896" s="3" t="s">
        <v>217</v>
      </c>
      <c r="K896" s="3" t="s">
        <v>219</v>
      </c>
      <c r="L896" s="12">
        <v>417908</v>
      </c>
      <c r="M896" s="11">
        <v>382308</v>
      </c>
    </row>
    <row r="897" spans="1:13">
      <c r="A897" s="15">
        <v>46235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7">
        <f>IFERROR(VLOOKUP(F897,Hoja2!$K$2:$M$1198,2,FALSE),0)</f>
        <v>0</v>
      </c>
      <c r="H897" s="17">
        <f>IFERROR(VLOOKUP(F897,Hoja2!$K$2:$M$1198,3,FALSE),0)</f>
        <v>0</v>
      </c>
      <c r="I897" s="3" t="s">
        <v>7</v>
      </c>
      <c r="J897" s="3" t="s">
        <v>217</v>
      </c>
      <c r="K897" s="3" t="s">
        <v>219</v>
      </c>
      <c r="L897" s="12">
        <v>417908</v>
      </c>
      <c r="M897" s="11">
        <v>396945</v>
      </c>
    </row>
    <row r="898" spans="1:13">
      <c r="A898" s="15">
        <v>46235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7">
        <f>IFERROR(VLOOKUP(F898,Hoja2!$K$2:$M$1198,2,FALSE),0)</f>
        <v>0</v>
      </c>
      <c r="H898" s="17">
        <f>IFERROR(VLOOKUP(F898,Hoja2!$K$2:$M$1198,3,FALSE),0)</f>
        <v>0</v>
      </c>
      <c r="I898" s="3" t="s">
        <v>7</v>
      </c>
      <c r="J898" s="3" t="s">
        <v>217</v>
      </c>
      <c r="K898" s="3" t="s">
        <v>219</v>
      </c>
      <c r="L898" s="12">
        <v>417928</v>
      </c>
      <c r="M898" s="11">
        <v>2042271</v>
      </c>
    </row>
    <row r="899" spans="1:13">
      <c r="A899" s="15">
        <v>46235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7">
        <f>IFERROR(VLOOKUP(F899,Hoja2!$K$2:$M$1198,2,FALSE),0)</f>
        <v>0</v>
      </c>
      <c r="H899" s="17">
        <f>IFERROR(VLOOKUP(F899,Hoja2!$K$2:$M$1198,3,FALSE),0)</f>
        <v>0</v>
      </c>
      <c r="I899" s="3" t="s">
        <v>7</v>
      </c>
      <c r="J899" s="3" t="s">
        <v>217</v>
      </c>
      <c r="K899" s="3" t="s">
        <v>219</v>
      </c>
      <c r="L899" s="12">
        <v>518508</v>
      </c>
      <c r="M899" s="11">
        <v>1771905</v>
      </c>
    </row>
    <row r="900" spans="1:13">
      <c r="A900" s="15">
        <v>46235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7">
        <f>IFERROR(VLOOKUP(F900,Hoja2!$K$2:$M$1198,2,FALSE),0)</f>
        <v>0</v>
      </c>
      <c r="H900" s="17">
        <f>IFERROR(VLOOKUP(F900,Hoja2!$K$2:$M$1198,3,FALSE),0)</f>
        <v>0</v>
      </c>
      <c r="I900" s="3" t="s">
        <v>7</v>
      </c>
      <c r="J900" s="3" t="s">
        <v>217</v>
      </c>
      <c r="K900" s="3" t="s">
        <v>219</v>
      </c>
      <c r="L900" s="12">
        <v>417928</v>
      </c>
      <c r="M900" s="11">
        <v>4155978</v>
      </c>
    </row>
    <row r="901" spans="1:13">
      <c r="A901" s="15">
        <v>46235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7">
        <f>IFERROR(VLOOKUP(F901,Hoja2!$K$2:$M$1198,2,FALSE),0)</f>
        <v>0</v>
      </c>
      <c r="H901" s="17">
        <f>IFERROR(VLOOKUP(F901,Hoja2!$K$2:$M$1198,3,FALSE),0)</f>
        <v>0</v>
      </c>
      <c r="I901" s="3" t="s">
        <v>7</v>
      </c>
      <c r="J901" s="3" t="s">
        <v>217</v>
      </c>
      <c r="K901" s="3" t="s">
        <v>219</v>
      </c>
      <c r="L901" s="12">
        <v>417928</v>
      </c>
      <c r="M901" s="11">
        <v>2018066</v>
      </c>
    </row>
    <row r="902" spans="1:13">
      <c r="A902" s="15">
        <v>46235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7">
        <f>IFERROR(VLOOKUP(F902,Hoja2!$K$2:$M$1198,2,FALSE),0)</f>
        <v>0</v>
      </c>
      <c r="H902" s="17">
        <f>IFERROR(VLOOKUP(F902,Hoja2!$K$2:$M$1198,3,FALSE),0)</f>
        <v>0</v>
      </c>
      <c r="I902" s="3" t="s">
        <v>7</v>
      </c>
      <c r="J902" s="3" t="s">
        <v>217</v>
      </c>
      <c r="K902" s="3" t="s">
        <v>219</v>
      </c>
      <c r="L902" s="12">
        <v>518508</v>
      </c>
      <c r="M902" s="11">
        <v>1766918</v>
      </c>
    </row>
    <row r="903" spans="1:13">
      <c r="A903" s="15">
        <v>46235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7">
        <f>IFERROR(VLOOKUP(F903,Hoja2!$K$2:$M$1198,2,FALSE),0)</f>
        <v>0</v>
      </c>
      <c r="H903" s="17">
        <f>IFERROR(VLOOKUP(F903,Hoja2!$K$2:$M$1198,3,FALSE),0)</f>
        <v>0</v>
      </c>
      <c r="I903" s="3" t="s">
        <v>7</v>
      </c>
      <c r="J903" s="3" t="s">
        <v>217</v>
      </c>
      <c r="K903" s="3" t="s">
        <v>219</v>
      </c>
      <c r="L903" s="12">
        <v>417928</v>
      </c>
      <c r="M903" s="11">
        <v>2194397</v>
      </c>
    </row>
    <row r="904" spans="1:13">
      <c r="A904" s="15">
        <v>46235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7">
        <f>IFERROR(VLOOKUP(F904,Hoja2!$K$2:$M$1198,2,FALSE),0)</f>
        <v>0</v>
      </c>
      <c r="H904" s="17">
        <f>IFERROR(VLOOKUP(F904,Hoja2!$K$2:$M$1198,3,FALSE),0)</f>
        <v>0</v>
      </c>
      <c r="I904" s="3" t="s">
        <v>7</v>
      </c>
      <c r="J904" s="3" t="s">
        <v>217</v>
      </c>
      <c r="K904" s="3" t="s">
        <v>219</v>
      </c>
      <c r="L904" s="12">
        <v>426020</v>
      </c>
      <c r="M904" s="11">
        <v>2076358</v>
      </c>
    </row>
    <row r="905" spans="1:13">
      <c r="A905" s="15">
        <v>46235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7">
        <f>IFERROR(VLOOKUP(F905,Hoja2!$K$2:$M$1198,2,FALSE),0)</f>
        <v>0</v>
      </c>
      <c r="H905" s="17">
        <f>IFERROR(VLOOKUP(F905,Hoja2!$K$2:$M$1198,3,FALSE),0)</f>
        <v>0</v>
      </c>
      <c r="I905" s="3" t="s">
        <v>7</v>
      </c>
      <c r="J905" s="3" t="s">
        <v>217</v>
      </c>
      <c r="K905" s="3" t="s">
        <v>219</v>
      </c>
      <c r="L905" s="12">
        <v>481950</v>
      </c>
      <c r="M905" s="11">
        <v>4384145</v>
      </c>
    </row>
    <row r="906" spans="1:13">
      <c r="A906" s="15">
        <v>46235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7">
        <f>IFERROR(VLOOKUP(F906,Hoja2!$K$2:$M$1198,2,FALSE),0)</f>
        <v>0</v>
      </c>
      <c r="H906" s="17">
        <f>IFERROR(VLOOKUP(F906,Hoja2!$K$2:$M$1198,3,FALSE),0)</f>
        <v>0</v>
      </c>
      <c r="I906" s="3" t="s">
        <v>7</v>
      </c>
      <c r="J906" s="3" t="s">
        <v>217</v>
      </c>
      <c r="K906" s="3" t="s">
        <v>219</v>
      </c>
      <c r="L906" s="12">
        <v>426020</v>
      </c>
      <c r="M906" s="11">
        <v>4052499</v>
      </c>
    </row>
    <row r="907" spans="1:13">
      <c r="A907" s="15">
        <v>46235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7">
        <f>IFERROR(VLOOKUP(F907,Hoja2!$K$2:$M$1198,2,FALSE),0)</f>
        <v>0</v>
      </c>
      <c r="H907" s="17">
        <f>IFERROR(VLOOKUP(F907,Hoja2!$K$2:$M$1198,3,FALSE),0)</f>
        <v>0</v>
      </c>
      <c r="I907" s="3" t="s">
        <v>7</v>
      </c>
      <c r="J907" s="3" t="s">
        <v>217</v>
      </c>
      <c r="K907" s="3" t="s">
        <v>219</v>
      </c>
      <c r="L907" s="12">
        <v>402220</v>
      </c>
      <c r="M907" s="11">
        <v>554984</v>
      </c>
    </row>
    <row r="908" spans="1:13">
      <c r="A908" s="15">
        <v>46235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7">
        <f>IFERROR(VLOOKUP(F908,Hoja2!$K$2:$M$1198,2,FALSE),0)</f>
        <v>0</v>
      </c>
      <c r="H908" s="17">
        <f>IFERROR(VLOOKUP(F908,Hoja2!$K$2:$M$1198,3,FALSE),0)</f>
        <v>0</v>
      </c>
      <c r="I908" s="3" t="s">
        <v>7</v>
      </c>
      <c r="J908" s="3" t="s">
        <v>217</v>
      </c>
      <c r="K908" s="3" t="s">
        <v>219</v>
      </c>
      <c r="L908" s="12">
        <v>426020</v>
      </c>
      <c r="M908" s="11">
        <v>1954811</v>
      </c>
    </row>
    <row r="909" spans="1:13">
      <c r="A909" s="15">
        <v>46235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7">
        <f>IFERROR(VLOOKUP(F909,Hoja2!$K$2:$M$1198,2,FALSE),0)</f>
        <v>0</v>
      </c>
      <c r="H909" s="17">
        <f>IFERROR(VLOOKUP(F909,Hoja2!$K$2:$M$1198,3,FALSE),0)</f>
        <v>0</v>
      </c>
      <c r="I909" s="3" t="s">
        <v>7</v>
      </c>
      <c r="J909" s="3" t="s">
        <v>217</v>
      </c>
      <c r="K909" s="3" t="s">
        <v>219</v>
      </c>
      <c r="L909" s="12">
        <v>526600</v>
      </c>
      <c r="M909" s="11">
        <v>1687123</v>
      </c>
    </row>
    <row r="910" spans="1:13">
      <c r="A910" s="15">
        <v>46235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7">
        <f>IFERROR(VLOOKUP(F910,Hoja2!$K$2:$M$1198,2,FALSE),0)</f>
        <v>0</v>
      </c>
      <c r="H910" s="17">
        <f>IFERROR(VLOOKUP(F910,Hoja2!$K$2:$M$1198,3,FALSE),0)</f>
        <v>0</v>
      </c>
      <c r="I910" s="3" t="s">
        <v>7</v>
      </c>
      <c r="J910" s="3" t="s">
        <v>217</v>
      </c>
      <c r="K910" s="3" t="s">
        <v>219</v>
      </c>
      <c r="L910" s="12">
        <v>426020</v>
      </c>
      <c r="M910" s="11">
        <v>4194424</v>
      </c>
    </row>
    <row r="911" spans="1:13">
      <c r="A911" s="15">
        <v>46235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7">
        <f>IFERROR(VLOOKUP(F911,Hoja2!$K$2:$M$1198,2,FALSE),0)</f>
        <v>0</v>
      </c>
      <c r="H911" s="17">
        <f>IFERROR(VLOOKUP(F911,Hoja2!$K$2:$M$1198,3,FALSE),0)</f>
        <v>0</v>
      </c>
      <c r="I911" s="3" t="s">
        <v>7</v>
      </c>
      <c r="J911" s="3" t="s">
        <v>217</v>
      </c>
      <c r="K911" s="3" t="s">
        <v>219</v>
      </c>
      <c r="L911" s="12">
        <v>426020</v>
      </c>
      <c r="M911" s="11">
        <v>1938974</v>
      </c>
    </row>
    <row r="912" spans="1:13">
      <c r="A912" s="15">
        <v>46235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7">
        <f>IFERROR(VLOOKUP(F912,Hoja2!$K$2:$M$1198,2,FALSE),0)</f>
        <v>0</v>
      </c>
      <c r="H912" s="17">
        <f>IFERROR(VLOOKUP(F912,Hoja2!$K$2:$M$1198,3,FALSE),0)</f>
        <v>0</v>
      </c>
      <c r="I912" s="3" t="s">
        <v>7</v>
      </c>
      <c r="J912" s="3" t="s">
        <v>217</v>
      </c>
      <c r="K912" s="3" t="s">
        <v>219</v>
      </c>
      <c r="L912" s="12">
        <v>526600</v>
      </c>
      <c r="M912" s="11">
        <v>1674655</v>
      </c>
    </row>
    <row r="913" spans="1:13">
      <c r="A913" s="15">
        <v>46235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7">
        <f>IFERROR(VLOOKUP(F913,Hoja2!$K$2:$M$1198,2,FALSE),0)</f>
        <v>0</v>
      </c>
      <c r="H913" s="17">
        <f>IFERROR(VLOOKUP(F913,Hoja2!$K$2:$M$1198,3,FALSE),0)</f>
        <v>0</v>
      </c>
      <c r="I913" s="3" t="s">
        <v>7</v>
      </c>
      <c r="J913" s="3" t="s">
        <v>217</v>
      </c>
      <c r="K913" s="3" t="s">
        <v>219</v>
      </c>
      <c r="L913" s="12">
        <v>426020</v>
      </c>
      <c r="M913" s="11">
        <v>1998354</v>
      </c>
    </row>
    <row r="914" spans="1:13">
      <c r="A914" s="15">
        <v>46235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7">
        <f>IFERROR(VLOOKUP(F914,Hoja2!$K$2:$M$1198,2,FALSE),0)</f>
        <v>5088000</v>
      </c>
      <c r="H914" s="17">
        <f>IFERROR(VLOOKUP(F914,Hoja2!$K$2:$M$1198,3,FALSE),0)</f>
        <v>76001000</v>
      </c>
      <c r="I914" s="3" t="s">
        <v>7</v>
      </c>
      <c r="J914" s="3" t="s">
        <v>217</v>
      </c>
      <c r="K914" s="3" t="s">
        <v>219</v>
      </c>
      <c r="L914" s="12">
        <v>518840</v>
      </c>
      <c r="M914" s="11">
        <v>2038717</v>
      </c>
    </row>
    <row r="915" spans="1:13">
      <c r="A915" s="15">
        <v>46235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7">
        <f>IFERROR(VLOOKUP(F915,Hoja2!$K$2:$M$1198,2,FALSE),0)</f>
        <v>5088000</v>
      </c>
      <c r="H915" s="17">
        <f>IFERROR(VLOOKUP(F915,Hoja2!$K$2:$M$1198,3,FALSE),0)</f>
        <v>47001000</v>
      </c>
      <c r="I915" s="3" t="s">
        <v>7</v>
      </c>
      <c r="J915" s="3" t="s">
        <v>217</v>
      </c>
      <c r="K915" s="3" t="s">
        <v>219</v>
      </c>
      <c r="L915" s="12">
        <v>763647</v>
      </c>
      <c r="M915" s="11">
        <v>2871948</v>
      </c>
    </row>
    <row r="916" spans="1:13">
      <c r="A916" s="15">
        <v>46235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7">
        <f>IFERROR(VLOOKUP(F916,Hoja2!$K$2:$M$1198,2,FALSE),0)</f>
        <v>5088000</v>
      </c>
      <c r="H916" s="17">
        <f>IFERROR(VLOOKUP(F916,Hoja2!$K$2:$M$1198,3,FALSE),0)</f>
        <v>11001000</v>
      </c>
      <c r="I916" s="3" t="s">
        <v>7</v>
      </c>
      <c r="J916" s="3" t="s">
        <v>217</v>
      </c>
      <c r="K916" s="3" t="s">
        <v>219</v>
      </c>
      <c r="L916" s="12">
        <v>1040850</v>
      </c>
      <c r="M916" s="11">
        <v>2003807</v>
      </c>
    </row>
    <row r="917" spans="1:13">
      <c r="A917" s="15">
        <v>46235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7">
        <f>IFERROR(VLOOKUP(F917,Hoja2!$K$2:$M$1198,2,FALSE),0)</f>
        <v>5001000</v>
      </c>
      <c r="H917" s="17">
        <f>IFERROR(VLOOKUP(F917,Hoja2!$K$2:$M$1198,3,FALSE),0)</f>
        <v>20001000</v>
      </c>
      <c r="I917" s="3" t="s">
        <v>7</v>
      </c>
      <c r="J917" s="3" t="s">
        <v>217</v>
      </c>
      <c r="K917" s="3" t="s">
        <v>219</v>
      </c>
      <c r="L917" s="12">
        <v>865635</v>
      </c>
      <c r="M917" s="11">
        <v>2630070</v>
      </c>
    </row>
    <row r="918" spans="1:13">
      <c r="A918" s="15">
        <v>46235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7">
        <f>IFERROR(VLOOKUP(F918,Hoja2!$K$2:$M$1198,2,FALSE),0)</f>
        <v>5088000</v>
      </c>
      <c r="H918" s="17">
        <f>IFERROR(VLOOKUP(F918,Hoja2!$K$2:$M$1198,3,FALSE),0)</f>
        <v>11001000</v>
      </c>
      <c r="I918" s="3" t="s">
        <v>7</v>
      </c>
      <c r="J918" s="3" t="s">
        <v>217</v>
      </c>
      <c r="K918" s="3" t="s">
        <v>219</v>
      </c>
      <c r="L918" s="12">
        <v>509587</v>
      </c>
      <c r="M918" s="11">
        <v>2510379</v>
      </c>
    </row>
    <row r="919" spans="1:13">
      <c r="A919" s="15">
        <v>46235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7">
        <f>IFERROR(VLOOKUP(F919,Hoja2!$K$2:$M$1198,2,FALSE),0)</f>
        <v>5001000</v>
      </c>
      <c r="H919" s="17">
        <f>IFERROR(VLOOKUP(F919,Hoja2!$K$2:$M$1198,3,FALSE),0)</f>
        <v>44430000</v>
      </c>
      <c r="I919" s="3" t="s">
        <v>7</v>
      </c>
      <c r="J919" s="3" t="s">
        <v>217</v>
      </c>
      <c r="K919" s="3" t="s">
        <v>219</v>
      </c>
      <c r="L919" s="12">
        <v>709864</v>
      </c>
      <c r="M919" s="11">
        <v>4073241</v>
      </c>
    </row>
    <row r="920" spans="1:13">
      <c r="A920" s="15">
        <v>46235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7">
        <f>IFERROR(VLOOKUP(F920,Hoja2!$K$2:$M$1198,2,FALSE),0)</f>
        <v>5001000</v>
      </c>
      <c r="H920" s="17">
        <f>IFERROR(VLOOKUP(F920,Hoja2!$K$2:$M$1198,3,FALSE),0)</f>
        <v>54001000</v>
      </c>
      <c r="I920" s="3" t="s">
        <v>7</v>
      </c>
      <c r="J920" s="3" t="s">
        <v>217</v>
      </c>
      <c r="K920" s="3" t="s">
        <v>219</v>
      </c>
      <c r="L920" s="12">
        <v>1054340</v>
      </c>
      <c r="M920" s="11">
        <v>2211852</v>
      </c>
    </row>
    <row r="921" spans="1:13">
      <c r="A921" s="15">
        <v>46235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7">
        <f>IFERROR(VLOOKUP(F921,Hoja2!$K$2:$M$1198,2,FALSE),0)</f>
        <v>5088000</v>
      </c>
      <c r="H921" s="17">
        <f>IFERROR(VLOOKUP(F921,Hoja2!$K$2:$M$1198,3,FALSE),0)</f>
        <v>5001000</v>
      </c>
      <c r="I921" s="3" t="s">
        <v>7</v>
      </c>
      <c r="J921" s="3" t="s">
        <v>217</v>
      </c>
      <c r="K921" s="3" t="s">
        <v>219</v>
      </c>
      <c r="L921" s="12">
        <v>865635</v>
      </c>
      <c r="M921" s="11">
        <v>991299</v>
      </c>
    </row>
    <row r="922" spans="1:13">
      <c r="A922" s="15">
        <v>46235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7">
        <f>IFERROR(VLOOKUP(F922,Hoja2!$K$2:$M$1198,2,FALSE),0)</f>
        <v>0</v>
      </c>
      <c r="H922" s="17">
        <f>IFERROR(VLOOKUP(F922,Hoja2!$K$2:$M$1198,3,FALSE),0)</f>
        <v>0</v>
      </c>
      <c r="I922" s="3" t="s">
        <v>7</v>
      </c>
      <c r="J922" s="3" t="s">
        <v>217</v>
      </c>
      <c r="K922" s="3" t="s">
        <v>219</v>
      </c>
      <c r="L922" s="12">
        <v>479498</v>
      </c>
      <c r="M922" s="11">
        <v>2871790</v>
      </c>
    </row>
    <row r="923" spans="1:13">
      <c r="A923" s="15">
        <v>46235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7">
        <f>IFERROR(VLOOKUP(F923,Hoja2!$K$2:$M$1198,2,FALSE),0)</f>
        <v>5088000</v>
      </c>
      <c r="H923" s="17">
        <f>IFERROR(VLOOKUP(F923,Hoja2!$K$2:$M$1198,3,FALSE),0)</f>
        <v>5001000</v>
      </c>
      <c r="I923" s="3" t="s">
        <v>7</v>
      </c>
      <c r="J923" s="3" t="s">
        <v>217</v>
      </c>
      <c r="K923" s="3" t="s">
        <v>219</v>
      </c>
      <c r="L923" s="12">
        <v>602055</v>
      </c>
      <c r="M923" s="11">
        <v>569407</v>
      </c>
    </row>
    <row r="924" spans="1:13">
      <c r="A924" s="15">
        <v>46235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7">
        <f>IFERROR(VLOOKUP(F924,Hoja2!$K$2:$M$1198,2,FALSE),0)</f>
        <v>5088000</v>
      </c>
      <c r="H924" s="17">
        <f>IFERROR(VLOOKUP(F924,Hoja2!$K$2:$M$1198,3,FALSE),0)</f>
        <v>76001000</v>
      </c>
      <c r="I924" s="3" t="s">
        <v>7</v>
      </c>
      <c r="J924" s="3" t="s">
        <v>217</v>
      </c>
      <c r="K924" s="3" t="s">
        <v>219</v>
      </c>
      <c r="L924" s="12">
        <v>509587</v>
      </c>
      <c r="M924" s="11">
        <v>1582392</v>
      </c>
    </row>
    <row r="925" spans="1:13">
      <c r="A925" s="15">
        <v>46235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7">
        <f>IFERROR(VLOOKUP(F925,Hoja2!$K$2:$M$1198,2,FALSE),0)</f>
        <v>0</v>
      </c>
      <c r="H925" s="17">
        <f>IFERROR(VLOOKUP(F925,Hoja2!$K$2:$M$1198,3,FALSE),0)</f>
        <v>0</v>
      </c>
      <c r="I925" s="3" t="s">
        <v>7</v>
      </c>
      <c r="J925" s="3" t="s">
        <v>217</v>
      </c>
      <c r="K925" s="3" t="s">
        <v>219</v>
      </c>
      <c r="L925" s="12">
        <v>527170</v>
      </c>
      <c r="M925" s="11">
        <v>2547526</v>
      </c>
    </row>
    <row r="926" spans="1:13">
      <c r="A926" s="15">
        <v>46235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7">
        <f>IFERROR(VLOOKUP(F926,Hoja2!$K$2:$M$1198,2,FALSE),0)</f>
        <v>0</v>
      </c>
      <c r="H926" s="17">
        <f>IFERROR(VLOOKUP(F926,Hoja2!$K$2:$M$1198,3,FALSE),0)</f>
        <v>0</v>
      </c>
      <c r="I926" s="3" t="s">
        <v>7</v>
      </c>
      <c r="J926" s="3" t="s">
        <v>217</v>
      </c>
      <c r="K926" s="3" t="s">
        <v>219</v>
      </c>
      <c r="L926" s="12">
        <v>497406</v>
      </c>
      <c r="M926" s="11">
        <v>1953936</v>
      </c>
    </row>
    <row r="927" spans="1:13">
      <c r="A927" s="15">
        <v>46235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7">
        <f>IFERROR(VLOOKUP(F927,Hoja2!$K$2:$M$1198,2,FALSE),0)</f>
        <v>5001000</v>
      </c>
      <c r="H927" s="17">
        <f>IFERROR(VLOOKUP(F927,Hoja2!$K$2:$M$1198,3,FALSE),0)</f>
        <v>66001000</v>
      </c>
      <c r="I927" s="3" t="s">
        <v>7</v>
      </c>
      <c r="J927" s="3" t="s">
        <v>217</v>
      </c>
      <c r="K927" s="3" t="s">
        <v>219</v>
      </c>
      <c r="L927" s="12">
        <v>619420</v>
      </c>
      <c r="M927" s="11">
        <v>1141897</v>
      </c>
    </row>
    <row r="928" spans="1:13">
      <c r="A928" s="15">
        <v>46235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7">
        <f>IFERROR(VLOOKUP(F928,Hoja2!$K$2:$M$1198,2,FALSE),0)</f>
        <v>66170000</v>
      </c>
      <c r="H928" s="17">
        <f>IFERROR(VLOOKUP(F928,Hoja2!$K$2:$M$1198,3,FALSE),0)</f>
        <v>76001000</v>
      </c>
      <c r="I928" s="3" t="s">
        <v>7</v>
      </c>
      <c r="J928" s="3" t="s">
        <v>217</v>
      </c>
      <c r="K928" s="3" t="s">
        <v>219</v>
      </c>
      <c r="L928" s="12">
        <v>619420</v>
      </c>
      <c r="M928" s="11">
        <v>1120350</v>
      </c>
    </row>
    <row r="929" spans="1:13">
      <c r="A929" s="15">
        <v>46235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7">
        <f>IFERROR(VLOOKUP(F929,Hoja2!$K$2:$M$1198,2,FALSE),0)</f>
        <v>66170000</v>
      </c>
      <c r="H929" s="17">
        <f>IFERROR(VLOOKUP(F929,Hoja2!$K$2:$M$1198,3,FALSE),0)</f>
        <v>63001000</v>
      </c>
      <c r="I929" s="3" t="s">
        <v>7</v>
      </c>
      <c r="J929" s="3" t="s">
        <v>217</v>
      </c>
      <c r="K929" s="3" t="s">
        <v>219</v>
      </c>
      <c r="L929" s="12">
        <v>875285</v>
      </c>
      <c r="M929" s="11">
        <v>563857</v>
      </c>
    </row>
    <row r="930" spans="1:13">
      <c r="A930" s="15">
        <v>46235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7">
        <f>IFERROR(VLOOKUP(F930,Hoja2!$K$2:$M$1198,2,FALSE),0)</f>
        <v>66170000</v>
      </c>
      <c r="H930" s="17">
        <f>IFERROR(VLOOKUP(F930,Hoja2!$K$2:$M$1198,3,FALSE),0)</f>
        <v>76109000</v>
      </c>
      <c r="I930" s="3" t="s">
        <v>7</v>
      </c>
      <c r="J930" s="3" t="s">
        <v>217</v>
      </c>
      <c r="K930" s="3" t="s">
        <v>219</v>
      </c>
      <c r="L930" s="12">
        <v>916008</v>
      </c>
      <c r="M930" s="11">
        <v>1432593</v>
      </c>
    </row>
    <row r="931" spans="1:13">
      <c r="A931" s="15">
        <v>46235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7">
        <f>IFERROR(VLOOKUP(F931,Hoja2!$K$2:$M$1198,2,FALSE),0)</f>
        <v>66170000</v>
      </c>
      <c r="H931" s="17">
        <f>IFERROR(VLOOKUP(F931,Hoja2!$K$2:$M$1198,3,FALSE),0)</f>
        <v>13001000</v>
      </c>
      <c r="I931" s="3" t="s">
        <v>7</v>
      </c>
      <c r="J931" s="3" t="s">
        <v>217</v>
      </c>
      <c r="K931" s="3" t="s">
        <v>219</v>
      </c>
      <c r="L931" s="12">
        <v>675350</v>
      </c>
      <c r="M931" s="11">
        <v>4036122</v>
      </c>
    </row>
    <row r="932" spans="1:13">
      <c r="A932" s="15">
        <v>46235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7">
        <f>IFERROR(VLOOKUP(F932,Hoja2!$K$2:$M$1198,2,FALSE),0)</f>
        <v>66001000</v>
      </c>
      <c r="H932" s="17">
        <f>IFERROR(VLOOKUP(F932,Hoja2!$K$2:$M$1198,3,FALSE),0)</f>
        <v>23001000</v>
      </c>
      <c r="I932" s="3" t="s">
        <v>7</v>
      </c>
      <c r="J932" s="3" t="s">
        <v>217</v>
      </c>
      <c r="K932" s="3" t="s">
        <v>219</v>
      </c>
      <c r="L932" s="12">
        <v>882291</v>
      </c>
      <c r="M932" s="11">
        <v>2098563</v>
      </c>
    </row>
    <row r="933" spans="1:13">
      <c r="A933" s="15">
        <v>46235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7">
        <f>IFERROR(VLOOKUP(F933,Hoja2!$K$2:$M$1198,2,FALSE),0)</f>
        <v>66170000</v>
      </c>
      <c r="H933" s="17">
        <f>IFERROR(VLOOKUP(F933,Hoja2!$K$2:$M$1198,3,FALSE),0)</f>
        <v>73001000</v>
      </c>
      <c r="I933" s="3" t="s">
        <v>7</v>
      </c>
      <c r="J933" s="3" t="s">
        <v>217</v>
      </c>
      <c r="K933" s="3" t="s">
        <v>219</v>
      </c>
      <c r="L933" s="12">
        <v>619420</v>
      </c>
      <c r="M933" s="11">
        <v>866774</v>
      </c>
    </row>
    <row r="934" spans="1:13">
      <c r="A934" s="15">
        <v>46235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7">
        <f>IFERROR(VLOOKUP(F934,Hoja2!$K$2:$M$1198,2,FALSE),0)</f>
        <v>66170000</v>
      </c>
      <c r="H934" s="17">
        <f>IFERROR(VLOOKUP(F934,Hoja2!$K$2:$M$1198,3,FALSE),0)</f>
        <v>76001000</v>
      </c>
      <c r="I934" s="3" t="s">
        <v>7</v>
      </c>
      <c r="J934" s="3" t="s">
        <v>217</v>
      </c>
      <c r="K934" s="3" t="s">
        <v>219</v>
      </c>
      <c r="L934" s="12">
        <v>672998</v>
      </c>
      <c r="M934" s="11">
        <v>1439620</v>
      </c>
    </row>
    <row r="935" spans="1:13">
      <c r="A935" s="15">
        <v>46235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7">
        <f>IFERROR(VLOOKUP(F935,Hoja2!$K$2:$M$1198,2,FALSE),0)</f>
        <v>66170000</v>
      </c>
      <c r="H935" s="17">
        <f>IFERROR(VLOOKUP(F935,Hoja2!$K$2:$M$1198,3,FALSE),0)</f>
        <v>11001000</v>
      </c>
      <c r="I935" s="3" t="s">
        <v>7</v>
      </c>
      <c r="J935" s="3" t="s">
        <v>217</v>
      </c>
      <c r="K935" s="3" t="s">
        <v>219</v>
      </c>
      <c r="L935" s="12">
        <v>1141830</v>
      </c>
      <c r="M935" s="11">
        <v>1497426</v>
      </c>
    </row>
    <row r="936" spans="1:13">
      <c r="A936" s="15">
        <v>46235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7">
        <f>IFERROR(VLOOKUP(F936,Hoja2!$K$2:$M$1198,2,FALSE),0)</f>
        <v>66170000</v>
      </c>
      <c r="H936" s="17">
        <f>IFERROR(VLOOKUP(F936,Hoja2!$K$2:$M$1198,3,FALSE),0)</f>
        <v>17001000</v>
      </c>
      <c r="I936" s="3" t="s">
        <v>7</v>
      </c>
      <c r="J936" s="3" t="s">
        <v>217</v>
      </c>
      <c r="K936" s="3" t="s">
        <v>219</v>
      </c>
      <c r="L936" s="12">
        <v>875285</v>
      </c>
      <c r="M936" s="11">
        <v>611827</v>
      </c>
    </row>
    <row r="937" spans="1:13">
      <c r="A937" s="15">
        <v>46235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7">
        <f>IFERROR(VLOOKUP(F937,Hoja2!$K$2:$M$1198,2,FALSE),0)</f>
        <v>66170000</v>
      </c>
      <c r="H937" s="17">
        <f>IFERROR(VLOOKUP(F937,Hoja2!$K$2:$M$1198,3,FALSE),0)</f>
        <v>73001000</v>
      </c>
      <c r="I937" s="3" t="s">
        <v>7</v>
      </c>
      <c r="J937" s="3" t="s">
        <v>217</v>
      </c>
      <c r="K937" s="3" t="s">
        <v>219</v>
      </c>
      <c r="L937" s="12">
        <v>1252500</v>
      </c>
      <c r="M937" s="11">
        <v>1103601</v>
      </c>
    </row>
    <row r="938" spans="1:13">
      <c r="A938" s="15">
        <v>46235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7">
        <f>IFERROR(VLOOKUP(F938,Hoja2!$K$2:$M$1198,2,FALSE),0)</f>
        <v>66170000</v>
      </c>
      <c r="H938" s="17">
        <f>IFERROR(VLOOKUP(F938,Hoja2!$K$2:$M$1198,3,FALSE),0)</f>
        <v>11001000</v>
      </c>
      <c r="I938" s="3" t="s">
        <v>7</v>
      </c>
      <c r="J938" s="3" t="s">
        <v>217</v>
      </c>
      <c r="K938" s="3" t="s">
        <v>219</v>
      </c>
      <c r="L938" s="12">
        <v>613659</v>
      </c>
      <c r="M938" s="11">
        <v>1659244</v>
      </c>
    </row>
    <row r="939" spans="1:13">
      <c r="A939" s="15">
        <v>46235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7">
        <f>IFERROR(VLOOKUP(F939,Hoja2!$K$2:$M$1198,2,FALSE),0)</f>
        <v>66170000</v>
      </c>
      <c r="H939" s="17">
        <f>IFERROR(VLOOKUP(F939,Hoja2!$K$2:$M$1198,3,FALSE),0)</f>
        <v>11001000</v>
      </c>
      <c r="I939" s="3" t="s">
        <v>7</v>
      </c>
      <c r="J939" s="3" t="s">
        <v>217</v>
      </c>
      <c r="K939" s="3" t="s">
        <v>219</v>
      </c>
      <c r="L939" s="12">
        <v>619400</v>
      </c>
      <c r="M939" s="11">
        <v>1663964</v>
      </c>
    </row>
    <row r="940" spans="1:13">
      <c r="A940" s="15">
        <v>46235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7">
        <f>IFERROR(VLOOKUP(F940,Hoja2!$K$2:$M$1198,2,FALSE),0)</f>
        <v>66170000</v>
      </c>
      <c r="H940" s="17">
        <f>IFERROR(VLOOKUP(F940,Hoja2!$K$2:$M$1198,3,FALSE),0)</f>
        <v>11001000</v>
      </c>
      <c r="I940" s="3" t="s">
        <v>7</v>
      </c>
      <c r="J940" s="3" t="s">
        <v>217</v>
      </c>
      <c r="K940" s="3" t="s">
        <v>219</v>
      </c>
      <c r="L940" s="12">
        <v>619400</v>
      </c>
      <c r="M940" s="11">
        <v>1659245</v>
      </c>
    </row>
    <row r="941" spans="1:13">
      <c r="A941" s="15">
        <v>46235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7">
        <f>IFERROR(VLOOKUP(F941,Hoja2!$K$2:$M$1198,2,FALSE),0)</f>
        <v>66170000</v>
      </c>
      <c r="H941" s="17">
        <f>IFERROR(VLOOKUP(F941,Hoja2!$K$2:$M$1198,3,FALSE),0)</f>
        <v>52001000</v>
      </c>
      <c r="I941" s="3" t="s">
        <v>7</v>
      </c>
      <c r="J941" s="3" t="s">
        <v>217</v>
      </c>
      <c r="K941" s="3" t="s">
        <v>219</v>
      </c>
      <c r="L941" s="12">
        <v>732672</v>
      </c>
      <c r="M941" s="11">
        <v>2687423</v>
      </c>
    </row>
    <row r="942" spans="1:13">
      <c r="A942" s="15">
        <v>46235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7">
        <f>IFERROR(VLOOKUP(F942,Hoja2!$K$2:$M$1198,2,FALSE),0)</f>
        <v>0</v>
      </c>
      <c r="H942" s="17">
        <f>IFERROR(VLOOKUP(F942,Hoja2!$K$2:$M$1198,3,FALSE),0)</f>
        <v>0</v>
      </c>
      <c r="I942" s="3" t="s">
        <v>7</v>
      </c>
      <c r="J942" s="3" t="s">
        <v>217</v>
      </c>
      <c r="K942" s="3" t="s">
        <v>219</v>
      </c>
      <c r="L942" s="12">
        <v>699450</v>
      </c>
      <c r="M942" s="11">
        <v>844052</v>
      </c>
    </row>
    <row r="943" spans="1:13">
      <c r="A943" s="15">
        <v>46235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7">
        <f>IFERROR(VLOOKUP(F943,Hoja2!$K$2:$M$1198,2,FALSE),0)</f>
        <v>66170000</v>
      </c>
      <c r="H943" s="17">
        <f>IFERROR(VLOOKUP(F943,Hoja2!$K$2:$M$1198,3,FALSE),0)</f>
        <v>5001000</v>
      </c>
      <c r="I943" s="3" t="s">
        <v>7</v>
      </c>
      <c r="J943" s="3" t="s">
        <v>217</v>
      </c>
      <c r="K943" s="3" t="s">
        <v>219</v>
      </c>
      <c r="L943" s="12">
        <v>619420</v>
      </c>
      <c r="M943" s="11">
        <v>1102000</v>
      </c>
    </row>
    <row r="944" spans="1:13">
      <c r="A944" s="15">
        <v>46235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7">
        <f>IFERROR(VLOOKUP(F944,Hoja2!$K$2:$M$1198,2,FALSE),0)</f>
        <v>66170000</v>
      </c>
      <c r="H944" s="17">
        <f>IFERROR(VLOOKUP(F944,Hoja2!$K$2:$M$1198,3,FALSE),0)</f>
        <v>8433000</v>
      </c>
      <c r="I944" s="3" t="s">
        <v>7</v>
      </c>
      <c r="J944" s="3" t="s">
        <v>217</v>
      </c>
      <c r="K944" s="3" t="s">
        <v>219</v>
      </c>
      <c r="L944" s="12">
        <v>619420</v>
      </c>
      <c r="M944" s="11">
        <v>4073525</v>
      </c>
    </row>
    <row r="945" spans="1:13">
      <c r="A945" s="15">
        <v>46235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7">
        <f>IFERROR(VLOOKUP(F945,Hoja2!$K$2:$M$1198,2,FALSE),0)</f>
        <v>66170000</v>
      </c>
      <c r="H945" s="17">
        <f>IFERROR(VLOOKUP(F945,Hoja2!$K$2:$M$1198,3,FALSE),0)</f>
        <v>5001000</v>
      </c>
      <c r="I945" s="3" t="s">
        <v>7</v>
      </c>
      <c r="J945" s="3" t="s">
        <v>217</v>
      </c>
      <c r="K945" s="3" t="s">
        <v>219</v>
      </c>
      <c r="L945" s="12">
        <v>619420</v>
      </c>
      <c r="M945" s="11">
        <v>1133709</v>
      </c>
    </row>
    <row r="946" spans="1:13">
      <c r="A946" s="15">
        <v>46235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7">
        <f>IFERROR(VLOOKUP(F946,Hoja2!$K$2:$M$1198,2,FALSE),0)</f>
        <v>66170000</v>
      </c>
      <c r="H946" s="17">
        <f>IFERROR(VLOOKUP(F946,Hoja2!$K$2:$M$1198,3,FALSE),0)</f>
        <v>76892000</v>
      </c>
      <c r="I946" s="3" t="s">
        <v>7</v>
      </c>
      <c r="J946" s="3" t="s">
        <v>217</v>
      </c>
      <c r="K946" s="3" t="s">
        <v>219</v>
      </c>
      <c r="L946" s="12">
        <v>619420</v>
      </c>
      <c r="M946" s="11">
        <v>1109905</v>
      </c>
    </row>
    <row r="947" spans="1:13">
      <c r="A947" s="15">
        <v>46235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7">
        <f>IFERROR(VLOOKUP(F947,Hoja2!$K$2:$M$1198,2,FALSE),0)</f>
        <v>8433000</v>
      </c>
      <c r="H947" s="17">
        <f>IFERROR(VLOOKUP(F947,Hoja2!$K$2:$M$1198,3,FALSE),0)</f>
        <v>17001000</v>
      </c>
      <c r="I947" s="3" t="s">
        <v>7</v>
      </c>
      <c r="J947" s="3" t="s">
        <v>217</v>
      </c>
      <c r="K947" s="3" t="s">
        <v>219</v>
      </c>
      <c r="L947" s="12">
        <v>702327</v>
      </c>
      <c r="M947" s="11">
        <v>3897897</v>
      </c>
    </row>
    <row r="948" spans="1:13">
      <c r="A948" s="15">
        <v>46235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7">
        <f>IFERROR(VLOOKUP(F948,Hoja2!$K$2:$M$1198,2,FALSE),0)</f>
        <v>8433000</v>
      </c>
      <c r="H948" s="17">
        <f>IFERROR(VLOOKUP(F948,Hoja2!$K$2:$M$1198,3,FALSE),0)</f>
        <v>15238000</v>
      </c>
      <c r="I948" s="3" t="s">
        <v>7</v>
      </c>
      <c r="J948" s="3" t="s">
        <v>217</v>
      </c>
      <c r="K948" s="3" t="s">
        <v>219</v>
      </c>
      <c r="L948" s="12">
        <v>546091</v>
      </c>
      <c r="M948" s="11">
        <v>3875812</v>
      </c>
    </row>
    <row r="949" spans="1:13">
      <c r="A949" s="15">
        <v>46235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7">
        <f>IFERROR(VLOOKUP(F949,Hoja2!$K$2:$M$1198,2,FALSE),0)</f>
        <v>8433000</v>
      </c>
      <c r="H949" s="17">
        <f>IFERROR(VLOOKUP(F949,Hoja2!$K$2:$M$1198,3,FALSE),0)</f>
        <v>76109000</v>
      </c>
      <c r="I949" s="3" t="s">
        <v>7</v>
      </c>
      <c r="J949" s="3" t="s">
        <v>217</v>
      </c>
      <c r="K949" s="3" t="s">
        <v>219</v>
      </c>
      <c r="L949" s="12">
        <v>797325</v>
      </c>
      <c r="M949" s="11">
        <v>5194231</v>
      </c>
    </row>
    <row r="950" spans="1:13">
      <c r="A950" s="15">
        <v>46235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7">
        <f>IFERROR(VLOOKUP(F950,Hoja2!$K$2:$M$1198,2,FALSE),0)</f>
        <v>8433000</v>
      </c>
      <c r="H950" s="17">
        <f>IFERROR(VLOOKUP(F950,Hoja2!$K$2:$M$1198,3,FALSE),0)</f>
        <v>76111000</v>
      </c>
      <c r="I950" s="3" t="s">
        <v>7</v>
      </c>
      <c r="J950" s="3" t="s">
        <v>217</v>
      </c>
      <c r="K950" s="3" t="s">
        <v>219</v>
      </c>
      <c r="L950" s="12">
        <v>694139</v>
      </c>
      <c r="M950" s="11">
        <v>4666659</v>
      </c>
    </row>
    <row r="951" spans="1:13">
      <c r="A951" s="15">
        <v>46235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7">
        <f>IFERROR(VLOOKUP(F951,Hoja2!$K$2:$M$1198,2,FALSE),0)</f>
        <v>8433000</v>
      </c>
      <c r="H951" s="17">
        <f>IFERROR(VLOOKUP(F951,Hoja2!$K$2:$M$1198,3,FALSE),0)</f>
        <v>11001000</v>
      </c>
      <c r="I951" s="3" t="s">
        <v>7</v>
      </c>
      <c r="J951" s="3" t="s">
        <v>217</v>
      </c>
      <c r="K951" s="3" t="s">
        <v>219</v>
      </c>
      <c r="L951" s="12">
        <v>1040850</v>
      </c>
      <c r="M951" s="11">
        <v>4492446</v>
      </c>
    </row>
    <row r="952" spans="1:13">
      <c r="A952" s="15">
        <v>46235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7">
        <f>IFERROR(VLOOKUP(F952,Hoja2!$K$2:$M$1198,2,FALSE),0)</f>
        <v>8433000</v>
      </c>
      <c r="H952" s="17">
        <f>IFERROR(VLOOKUP(F952,Hoja2!$K$2:$M$1198,3,FALSE),0)</f>
        <v>47245000</v>
      </c>
      <c r="I952" s="3" t="s">
        <v>7</v>
      </c>
      <c r="J952" s="3" t="s">
        <v>217</v>
      </c>
      <c r="K952" s="3" t="s">
        <v>219</v>
      </c>
      <c r="L952" s="12">
        <v>815943</v>
      </c>
      <c r="M952" s="11">
        <v>1535175</v>
      </c>
    </row>
    <row r="953" spans="1:13">
      <c r="A953" s="15">
        <v>46235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7">
        <f>IFERROR(VLOOKUP(F953,Hoja2!$K$2:$M$1198,2,FALSE),0)</f>
        <v>8433000</v>
      </c>
      <c r="H953" s="17">
        <f>IFERROR(VLOOKUP(F953,Hoja2!$K$2:$M$1198,3,FALSE),0)</f>
        <v>50001000</v>
      </c>
      <c r="I953" s="3" t="s">
        <v>7</v>
      </c>
      <c r="J953" s="3" t="s">
        <v>217</v>
      </c>
      <c r="K953" s="3" t="s">
        <v>219</v>
      </c>
      <c r="L953" s="12">
        <v>546091</v>
      </c>
      <c r="M953" s="11">
        <v>5385962</v>
      </c>
    </row>
    <row r="954" spans="1:13">
      <c r="A954" s="15">
        <v>46235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7">
        <f>IFERROR(VLOOKUP(F954,Hoja2!$K$2:$M$1198,2,FALSE),0)</f>
        <v>8433000</v>
      </c>
      <c r="H954" s="17">
        <f>IFERROR(VLOOKUP(F954,Hoja2!$K$2:$M$1198,3,FALSE),0)</f>
        <v>52356000</v>
      </c>
      <c r="I954" s="3" t="s">
        <v>7</v>
      </c>
      <c r="J954" s="3" t="s">
        <v>217</v>
      </c>
      <c r="K954" s="3" t="s">
        <v>219</v>
      </c>
      <c r="L954" s="12">
        <v>589092</v>
      </c>
      <c r="M954" s="11">
        <v>6762147</v>
      </c>
    </row>
    <row r="955" spans="1:13">
      <c r="A955" s="15">
        <v>46235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7">
        <f>IFERROR(VLOOKUP(F955,Hoja2!$K$2:$M$1198,2,FALSE),0)</f>
        <v>8433000</v>
      </c>
      <c r="H955" s="17">
        <f>IFERROR(VLOOKUP(F955,Hoja2!$K$2:$M$1198,3,FALSE),0)</f>
        <v>17380000</v>
      </c>
      <c r="I955" s="3" t="s">
        <v>7</v>
      </c>
      <c r="J955" s="3" t="s">
        <v>217</v>
      </c>
      <c r="K955" s="3" t="s">
        <v>219</v>
      </c>
      <c r="L955" s="12">
        <v>1041250</v>
      </c>
      <c r="M955" s="11">
        <v>3840545</v>
      </c>
    </row>
    <row r="956" spans="1:13">
      <c r="A956" s="15">
        <v>46235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7">
        <f>IFERROR(VLOOKUP(F956,Hoja2!$K$2:$M$1198,2,FALSE),0)</f>
        <v>8433000</v>
      </c>
      <c r="H956" s="17">
        <f>IFERROR(VLOOKUP(F956,Hoja2!$K$2:$M$1198,3,FALSE),0)</f>
        <v>17001000</v>
      </c>
      <c r="I956" s="3" t="s">
        <v>7</v>
      </c>
      <c r="J956" s="3" t="s">
        <v>217</v>
      </c>
      <c r="K956" s="3" t="s">
        <v>219</v>
      </c>
      <c r="L956" s="12">
        <v>756602</v>
      </c>
      <c r="M956" s="11">
        <v>4140852</v>
      </c>
    </row>
    <row r="957" spans="1:13">
      <c r="A957" s="15">
        <v>46235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7">
        <f>IFERROR(VLOOKUP(F957,Hoja2!$K$2:$M$1198,2,FALSE),0)</f>
        <v>8433000</v>
      </c>
      <c r="H957" s="17">
        <f>IFERROR(VLOOKUP(F957,Hoja2!$K$2:$M$1198,3,FALSE),0)</f>
        <v>54001000</v>
      </c>
      <c r="I957" s="3" t="s">
        <v>7</v>
      </c>
      <c r="J957" s="3" t="s">
        <v>217</v>
      </c>
      <c r="K957" s="3" t="s">
        <v>219</v>
      </c>
      <c r="L957" s="12">
        <v>1054340</v>
      </c>
      <c r="M957" s="11">
        <v>3029043</v>
      </c>
    </row>
    <row r="958" spans="1:13">
      <c r="A958" s="15">
        <v>46235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7">
        <f>IFERROR(VLOOKUP(F958,Hoja2!$K$2:$M$1198,2,FALSE),0)</f>
        <v>8433000</v>
      </c>
      <c r="H958" s="17">
        <f>IFERROR(VLOOKUP(F958,Hoja2!$K$2:$M$1198,3,FALSE),0)</f>
        <v>5579000</v>
      </c>
      <c r="I958" s="3" t="s">
        <v>7</v>
      </c>
      <c r="J958" s="3" t="s">
        <v>217</v>
      </c>
      <c r="K958" s="3" t="s">
        <v>219</v>
      </c>
      <c r="L958" s="12">
        <v>815943</v>
      </c>
      <c r="M958" s="11">
        <v>2890819</v>
      </c>
    </row>
    <row r="959" spans="1:13">
      <c r="A959" s="15">
        <v>46235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7">
        <f>IFERROR(VLOOKUP(F959,Hoja2!$K$2:$M$1198,2,FALSE),0)</f>
        <v>8433000</v>
      </c>
      <c r="H959" s="17">
        <f>IFERROR(VLOOKUP(F959,Hoja2!$K$2:$M$1198,3,FALSE),0)</f>
        <v>44001000</v>
      </c>
      <c r="I959" s="3" t="s">
        <v>7</v>
      </c>
      <c r="J959" s="3" t="s">
        <v>217</v>
      </c>
      <c r="K959" s="3" t="s">
        <v>219</v>
      </c>
      <c r="L959" s="12">
        <v>658036</v>
      </c>
      <c r="M959" s="11">
        <v>1477887</v>
      </c>
    </row>
    <row r="960" spans="1:13">
      <c r="A960" s="15">
        <v>46235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7">
        <f>IFERROR(VLOOKUP(F960,Hoja2!$K$2:$M$1198,2,FALSE),0)</f>
        <v>8433000</v>
      </c>
      <c r="H960" s="17">
        <f>IFERROR(VLOOKUP(F960,Hoja2!$K$2:$M$1198,3,FALSE),0)</f>
        <v>73001000</v>
      </c>
      <c r="I960" s="3" t="s">
        <v>7</v>
      </c>
      <c r="J960" s="3" t="s">
        <v>217</v>
      </c>
      <c r="K960" s="3" t="s">
        <v>219</v>
      </c>
      <c r="L960" s="12">
        <v>1041250</v>
      </c>
      <c r="M960" s="11">
        <v>4482472</v>
      </c>
    </row>
    <row r="961" spans="1:13">
      <c r="A961" s="15">
        <v>46235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7">
        <f>IFERROR(VLOOKUP(F961,Hoja2!$K$2:$M$1198,2,FALSE),0)</f>
        <v>8433000</v>
      </c>
      <c r="H961" s="17">
        <f>IFERROR(VLOOKUP(F961,Hoja2!$K$2:$M$1198,3,FALSE),0)</f>
        <v>11001000</v>
      </c>
      <c r="I961" s="3" t="s">
        <v>7</v>
      </c>
      <c r="J961" s="3" t="s">
        <v>217</v>
      </c>
      <c r="K961" s="3" t="s">
        <v>219</v>
      </c>
      <c r="L961" s="12">
        <v>1041250</v>
      </c>
      <c r="M961" s="11">
        <v>4040031</v>
      </c>
    </row>
    <row r="962" spans="1:13">
      <c r="A962" s="15">
        <v>46235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7">
        <f>IFERROR(VLOOKUP(F962,Hoja2!$K$2:$M$1198,2,FALSE),0)</f>
        <v>8433000</v>
      </c>
      <c r="H962" s="17">
        <f>IFERROR(VLOOKUP(F962,Hoja2!$K$2:$M$1198,3,FALSE),0)</f>
        <v>76001000</v>
      </c>
      <c r="I962" s="3" t="s">
        <v>7</v>
      </c>
      <c r="J962" s="3" t="s">
        <v>217</v>
      </c>
      <c r="K962" s="3" t="s">
        <v>219</v>
      </c>
      <c r="L962" s="12">
        <v>495637</v>
      </c>
      <c r="M962" s="11">
        <v>4233114</v>
      </c>
    </row>
    <row r="963" spans="1:13">
      <c r="A963" s="15">
        <v>46235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7">
        <f>IFERROR(VLOOKUP(F963,Hoja2!$K$2:$M$1198,2,FALSE),0)</f>
        <v>0</v>
      </c>
      <c r="H963" s="17">
        <f>IFERROR(VLOOKUP(F963,Hoja2!$K$2:$M$1198,3,FALSE),0)</f>
        <v>0</v>
      </c>
      <c r="I963" s="3" t="s">
        <v>7</v>
      </c>
      <c r="J963" s="3" t="s">
        <v>217</v>
      </c>
      <c r="K963" s="3" t="s">
        <v>219</v>
      </c>
      <c r="L963" s="12">
        <v>527170</v>
      </c>
      <c r="M963" s="11">
        <v>4189646</v>
      </c>
    </row>
    <row r="964" spans="1:13">
      <c r="A964" s="15">
        <v>46235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7">
        <f>IFERROR(VLOOKUP(F964,Hoja2!$K$2:$M$1198,2,FALSE),0)</f>
        <v>0</v>
      </c>
      <c r="H964" s="17">
        <f>IFERROR(VLOOKUP(F964,Hoja2!$K$2:$M$1198,3,FALSE),0)</f>
        <v>0</v>
      </c>
      <c r="I964" s="3" t="s">
        <v>7</v>
      </c>
      <c r="J964" s="3" t="s">
        <v>217</v>
      </c>
      <c r="K964" s="3" t="s">
        <v>219</v>
      </c>
      <c r="L964" s="12">
        <v>598870</v>
      </c>
      <c r="M964" s="11">
        <v>4650281</v>
      </c>
    </row>
    <row r="965" spans="1:13">
      <c r="A965" s="15">
        <v>46235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7">
        <f>IFERROR(VLOOKUP(F965,Hoja2!$K$2:$M$1198,2,FALSE),0)</f>
        <v>5001000</v>
      </c>
      <c r="H965" s="17">
        <f>IFERROR(VLOOKUP(F965,Hoja2!$K$2:$M$1198,3,FALSE),0)</f>
        <v>20011000</v>
      </c>
      <c r="I965" s="3" t="s">
        <v>7</v>
      </c>
      <c r="J965" s="3" t="s">
        <v>217</v>
      </c>
      <c r="K965" s="3" t="s">
        <v>219</v>
      </c>
      <c r="L965" s="12">
        <v>1177321</v>
      </c>
      <c r="M965" s="11">
        <v>2011288</v>
      </c>
    </row>
    <row r="966" spans="1:13">
      <c r="A966" s="15">
        <v>46235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7">
        <f>IFERROR(VLOOKUP(F966,Hoja2!$K$2:$M$1198,2,FALSE),0)</f>
        <v>5001000</v>
      </c>
      <c r="H966" s="17">
        <f>IFERROR(VLOOKUP(F966,Hoja2!$K$2:$M$1198,3,FALSE),0)</f>
        <v>17001000</v>
      </c>
      <c r="I966" s="3" t="s">
        <v>7</v>
      </c>
      <c r="J966" s="3" t="s">
        <v>217</v>
      </c>
      <c r="K966" s="3" t="s">
        <v>219</v>
      </c>
      <c r="L966" s="12">
        <v>713580</v>
      </c>
      <c r="M966" s="11">
        <v>1051420</v>
      </c>
    </row>
    <row r="967" spans="1:13">
      <c r="A967" s="15">
        <v>46235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7">
        <f>IFERROR(VLOOKUP(F967,Hoja2!$K$2:$M$1198,2,FALSE),0)</f>
        <v>5001000</v>
      </c>
      <c r="H967" s="17">
        <f>IFERROR(VLOOKUP(F967,Hoja2!$K$2:$M$1198,3,FALSE),0)</f>
        <v>47001000</v>
      </c>
      <c r="I967" s="3" t="s">
        <v>7</v>
      </c>
      <c r="J967" s="3" t="s">
        <v>217</v>
      </c>
      <c r="K967" s="3" t="s">
        <v>219</v>
      </c>
      <c r="L967" s="12">
        <v>706162</v>
      </c>
      <c r="M967" s="11">
        <v>3216061</v>
      </c>
    </row>
    <row r="968" spans="1:13">
      <c r="A968" s="15">
        <v>46235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7">
        <f>IFERROR(VLOOKUP(F968,Hoja2!$K$2:$M$1198,2,FALSE),0)</f>
        <v>5001000</v>
      </c>
      <c r="H968" s="17">
        <f>IFERROR(VLOOKUP(F968,Hoja2!$K$2:$M$1198,3,FALSE),0)</f>
        <v>15238000</v>
      </c>
      <c r="I968" s="3" t="s">
        <v>7</v>
      </c>
      <c r="J968" s="3" t="s">
        <v>217</v>
      </c>
      <c r="K968" s="3" t="s">
        <v>219</v>
      </c>
      <c r="L968" s="12">
        <v>565226</v>
      </c>
      <c r="M968" s="11">
        <v>2687423</v>
      </c>
    </row>
    <row r="969" spans="1:13">
      <c r="A969" s="15">
        <v>46235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7">
        <f>IFERROR(VLOOKUP(F969,Hoja2!$K$2:$M$1198,2,FALSE),0)</f>
        <v>5001000</v>
      </c>
      <c r="H969" s="17">
        <f>IFERROR(VLOOKUP(F969,Hoja2!$K$2:$M$1198,3,FALSE),0)</f>
        <v>47001000</v>
      </c>
      <c r="I969" s="3" t="s">
        <v>7</v>
      </c>
      <c r="J969" s="3" t="s">
        <v>217</v>
      </c>
      <c r="K969" s="3" t="s">
        <v>219</v>
      </c>
      <c r="L969" s="12">
        <v>763647</v>
      </c>
      <c r="M969" s="11">
        <v>2896884</v>
      </c>
    </row>
    <row r="970" spans="1:13">
      <c r="A970" s="15">
        <v>46235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7">
        <f>IFERROR(VLOOKUP(F970,Hoja2!$K$2:$M$1198,2,FALSE),0)</f>
        <v>5001000</v>
      </c>
      <c r="H970" s="17">
        <f>IFERROR(VLOOKUP(F970,Hoja2!$K$2:$M$1198,3,FALSE),0)</f>
        <v>76109000</v>
      </c>
      <c r="I970" s="3" t="s">
        <v>7</v>
      </c>
      <c r="J970" s="3" t="s">
        <v>217</v>
      </c>
      <c r="K970" s="3" t="s">
        <v>219</v>
      </c>
      <c r="L970" s="12">
        <v>843315</v>
      </c>
      <c r="M970" s="11">
        <v>2006301</v>
      </c>
    </row>
    <row r="971" spans="1:13">
      <c r="A971" s="15">
        <v>46235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7">
        <f>IFERROR(VLOOKUP(F971,Hoja2!$K$2:$M$1198,2,FALSE),0)</f>
        <v>5001000</v>
      </c>
      <c r="H971" s="17">
        <f>IFERROR(VLOOKUP(F971,Hoja2!$K$2:$M$1198,3,FALSE),0)</f>
        <v>76111000</v>
      </c>
      <c r="I971" s="3" t="s">
        <v>7</v>
      </c>
      <c r="J971" s="3" t="s">
        <v>217</v>
      </c>
      <c r="K971" s="3" t="s">
        <v>219</v>
      </c>
      <c r="L971" s="12">
        <v>694139</v>
      </c>
      <c r="M971" s="11">
        <v>1699591</v>
      </c>
    </row>
    <row r="972" spans="1:13">
      <c r="A972" s="15">
        <v>46235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7">
        <f>IFERROR(VLOOKUP(F972,Hoja2!$K$2:$M$1198,2,FALSE),0)</f>
        <v>5001000</v>
      </c>
      <c r="H972" s="17">
        <f>IFERROR(VLOOKUP(F972,Hoja2!$K$2:$M$1198,3,FALSE),0)</f>
        <v>15238000</v>
      </c>
      <c r="I972" s="3" t="s">
        <v>7</v>
      </c>
      <c r="J972" s="3" t="s">
        <v>217</v>
      </c>
      <c r="K972" s="3" t="s">
        <v>219</v>
      </c>
      <c r="L972" s="12">
        <v>546091</v>
      </c>
      <c r="M972" s="11">
        <v>2562744</v>
      </c>
    </row>
    <row r="973" spans="1:13">
      <c r="A973" s="15">
        <v>46235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7">
        <f>IFERROR(VLOOKUP(F973,Hoja2!$K$2:$M$1198,2,FALSE),0)</f>
        <v>5001000</v>
      </c>
      <c r="H973" s="17">
        <f>IFERROR(VLOOKUP(F973,Hoja2!$K$2:$M$1198,3,FALSE),0)</f>
        <v>20001000</v>
      </c>
      <c r="I973" s="3" t="s">
        <v>7</v>
      </c>
      <c r="J973" s="3" t="s">
        <v>217</v>
      </c>
      <c r="K973" s="3" t="s">
        <v>219</v>
      </c>
      <c r="L973" s="12">
        <v>861933</v>
      </c>
      <c r="M973" s="11">
        <v>2122243</v>
      </c>
    </row>
    <row r="974" spans="1:13">
      <c r="A974" s="15">
        <v>46235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7">
        <f>IFERROR(VLOOKUP(F974,Hoja2!$K$2:$M$1198,2,FALSE),0)</f>
        <v>5001000</v>
      </c>
      <c r="H974" s="17">
        <f>IFERROR(VLOOKUP(F974,Hoja2!$K$2:$M$1198,3,FALSE),0)</f>
        <v>18001000</v>
      </c>
      <c r="I974" s="3" t="s">
        <v>7</v>
      </c>
      <c r="J974" s="3" t="s">
        <v>217</v>
      </c>
      <c r="K974" s="3" t="s">
        <v>219</v>
      </c>
      <c r="L974" s="12">
        <v>706162</v>
      </c>
      <c r="M974" s="11">
        <v>3903962</v>
      </c>
    </row>
    <row r="975" spans="1:13">
      <c r="A975" s="15">
        <v>46235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7">
        <f>IFERROR(VLOOKUP(F975,Hoja2!$K$2:$M$1198,2,FALSE),0)</f>
        <v>5001000</v>
      </c>
      <c r="H975" s="17">
        <f>IFERROR(VLOOKUP(F975,Hoja2!$K$2:$M$1198,3,FALSE),0)</f>
        <v>20001000</v>
      </c>
      <c r="I975" s="3" t="s">
        <v>7</v>
      </c>
      <c r="J975" s="3" t="s">
        <v>217</v>
      </c>
      <c r="K975" s="3" t="s">
        <v>219</v>
      </c>
      <c r="L975" s="12">
        <v>1143804</v>
      </c>
      <c r="M975" s="11">
        <v>3745789</v>
      </c>
    </row>
    <row r="976" spans="1:13">
      <c r="A976" s="15">
        <v>46235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7">
        <f>IFERROR(VLOOKUP(F976,Hoja2!$K$2:$M$1198,2,FALSE),0)</f>
        <v>5001000</v>
      </c>
      <c r="H976" s="17">
        <f>IFERROR(VLOOKUP(F976,Hoja2!$K$2:$M$1198,3,FALSE),0)</f>
        <v>41001000</v>
      </c>
      <c r="I976" s="3" t="s">
        <v>7</v>
      </c>
      <c r="J976" s="3" t="s">
        <v>217</v>
      </c>
      <c r="K976" s="3" t="s">
        <v>219</v>
      </c>
      <c r="L976" s="12">
        <v>1092420</v>
      </c>
      <c r="M976" s="11">
        <v>2976678</v>
      </c>
    </row>
    <row r="977" spans="1:13">
      <c r="A977" s="15">
        <v>46235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7">
        <f>IFERROR(VLOOKUP(F977,Hoja2!$K$2:$M$1198,2,FALSE),0)</f>
        <v>5001000</v>
      </c>
      <c r="H977" s="17">
        <f>IFERROR(VLOOKUP(F977,Hoja2!$K$2:$M$1198,3,FALSE),0)</f>
        <v>50001000</v>
      </c>
      <c r="I977" s="3" t="s">
        <v>7</v>
      </c>
      <c r="J977" s="3" t="s">
        <v>217</v>
      </c>
      <c r="K977" s="3" t="s">
        <v>219</v>
      </c>
      <c r="L977" s="12">
        <v>546091</v>
      </c>
      <c r="M977" s="11">
        <v>2764724</v>
      </c>
    </row>
    <row r="978" spans="1:13">
      <c r="A978" s="15">
        <v>46235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7">
        <f>IFERROR(VLOOKUP(F978,Hoja2!$K$2:$M$1198,2,FALSE),0)</f>
        <v>5001000</v>
      </c>
      <c r="H978" s="17">
        <f>IFERROR(VLOOKUP(F978,Hoja2!$K$2:$M$1198,3,FALSE),0)</f>
        <v>11001000</v>
      </c>
      <c r="I978" s="3" t="s">
        <v>7</v>
      </c>
      <c r="J978" s="3" t="s">
        <v>217</v>
      </c>
      <c r="K978" s="3" t="s">
        <v>219</v>
      </c>
      <c r="L978" s="12">
        <v>505885</v>
      </c>
      <c r="M978" s="11">
        <v>2417039</v>
      </c>
    </row>
    <row r="979" spans="1:13">
      <c r="A979" s="15">
        <v>46235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7">
        <f>IFERROR(VLOOKUP(F979,Hoja2!$K$2:$M$1198,2,FALSE),0)</f>
        <v>5001000</v>
      </c>
      <c r="H979" s="17">
        <f>IFERROR(VLOOKUP(F979,Hoja2!$K$2:$M$1198,3,FALSE),0)</f>
        <v>73001000</v>
      </c>
      <c r="I979" s="3" t="s">
        <v>7</v>
      </c>
      <c r="J979" s="3" t="s">
        <v>217</v>
      </c>
      <c r="K979" s="3" t="s">
        <v>219</v>
      </c>
      <c r="L979" s="12">
        <v>518840</v>
      </c>
      <c r="M979" s="11">
        <v>1921519</v>
      </c>
    </row>
    <row r="980" spans="1:13">
      <c r="A980" s="15">
        <v>46235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7">
        <f>IFERROR(VLOOKUP(F980,Hoja2!$K$2:$M$1198,2,FALSE),0)</f>
        <v>5001000</v>
      </c>
      <c r="H980" s="17">
        <f>IFERROR(VLOOKUP(F980,Hoja2!$K$2:$M$1198,3,FALSE),0)</f>
        <v>52356000</v>
      </c>
      <c r="I980" s="3" t="s">
        <v>7</v>
      </c>
      <c r="J980" s="3" t="s">
        <v>217</v>
      </c>
      <c r="K980" s="3" t="s">
        <v>219</v>
      </c>
      <c r="L980" s="12">
        <v>589092</v>
      </c>
      <c r="M980" s="11">
        <v>3917846</v>
      </c>
    </row>
    <row r="981" spans="1:13">
      <c r="A981" s="15">
        <v>46235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7">
        <f>IFERROR(VLOOKUP(F981,Hoja2!$K$2:$M$1198,2,FALSE),0)</f>
        <v>5001000</v>
      </c>
      <c r="H981" s="17">
        <f>IFERROR(VLOOKUP(F981,Hoja2!$K$2:$M$1198,3,FALSE),0)</f>
        <v>17380000</v>
      </c>
      <c r="I981" s="3" t="s">
        <v>7</v>
      </c>
      <c r="J981" s="3" t="s">
        <v>217</v>
      </c>
      <c r="K981" s="3" t="s">
        <v>219</v>
      </c>
      <c r="L981" s="12">
        <v>1041250</v>
      </c>
      <c r="M981" s="11">
        <v>1118562</v>
      </c>
    </row>
    <row r="982" spans="1:13">
      <c r="A982" s="15">
        <v>46235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7">
        <f>IFERROR(VLOOKUP(F982,Hoja2!$K$2:$M$1198,2,FALSE),0)</f>
        <v>5001000</v>
      </c>
      <c r="H982" s="17">
        <f>IFERROR(VLOOKUP(F982,Hoja2!$K$2:$M$1198,3,FALSE),0)</f>
        <v>11001000</v>
      </c>
      <c r="I982" s="3" t="s">
        <v>7</v>
      </c>
      <c r="J982" s="3" t="s">
        <v>217</v>
      </c>
      <c r="K982" s="3" t="s">
        <v>219</v>
      </c>
      <c r="L982" s="12">
        <v>1041250</v>
      </c>
      <c r="M982" s="11">
        <v>1976378</v>
      </c>
    </row>
    <row r="983" spans="1:13">
      <c r="A983" s="15">
        <v>46235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7">
        <f>IFERROR(VLOOKUP(F983,Hoja2!$K$2:$M$1198,2,FALSE),0)</f>
        <v>5001000</v>
      </c>
      <c r="H983" s="17">
        <f>IFERROR(VLOOKUP(F983,Hoja2!$K$2:$M$1198,3,FALSE),0)</f>
        <v>25430000</v>
      </c>
      <c r="I983" s="3" t="s">
        <v>7</v>
      </c>
      <c r="J983" s="3" t="s">
        <v>217</v>
      </c>
      <c r="K983" s="3" t="s">
        <v>219</v>
      </c>
      <c r="L983" s="12">
        <v>518840</v>
      </c>
      <c r="M983" s="11">
        <v>1916071</v>
      </c>
    </row>
    <row r="984" spans="1:13">
      <c r="A984" s="15">
        <v>46235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7">
        <f>IFERROR(VLOOKUP(F984,Hoja2!$K$2:$M$1198,2,FALSE),0)</f>
        <v>5001000</v>
      </c>
      <c r="H984" s="17">
        <f>IFERROR(VLOOKUP(F984,Hoja2!$K$2:$M$1198,3,FALSE),0)</f>
        <v>44430000</v>
      </c>
      <c r="I984" s="3" t="s">
        <v>7</v>
      </c>
      <c r="J984" s="3" t="s">
        <v>217</v>
      </c>
      <c r="K984" s="3" t="s">
        <v>219</v>
      </c>
      <c r="L984" s="12">
        <v>706162</v>
      </c>
      <c r="M984" s="11">
        <v>4098177</v>
      </c>
    </row>
    <row r="985" spans="1:13">
      <c r="A985" s="15">
        <v>46235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7">
        <f>IFERROR(VLOOKUP(F985,Hoja2!$K$2:$M$1198,2,FALSE),0)</f>
        <v>5001000</v>
      </c>
      <c r="H985" s="17">
        <f>IFERROR(VLOOKUP(F985,Hoja2!$K$2:$M$1198,3,FALSE),0)</f>
        <v>73001000</v>
      </c>
      <c r="I985" s="3" t="s">
        <v>7</v>
      </c>
      <c r="J985" s="3" t="s">
        <v>217</v>
      </c>
      <c r="K985" s="3" t="s">
        <v>219</v>
      </c>
      <c r="L985" s="12">
        <v>1151920</v>
      </c>
      <c r="M985" s="11">
        <v>1607329</v>
      </c>
    </row>
    <row r="986" spans="1:13">
      <c r="A986" s="15">
        <v>46235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7">
        <f>IFERROR(VLOOKUP(F986,Hoja2!$K$2:$M$1198,2,FALSE),0)</f>
        <v>5001000</v>
      </c>
      <c r="H986" s="17">
        <f>IFERROR(VLOOKUP(F986,Hoja2!$K$2:$M$1198,3,FALSE),0)</f>
        <v>20001000</v>
      </c>
      <c r="I986" s="3" t="s">
        <v>7</v>
      </c>
      <c r="J986" s="3" t="s">
        <v>217</v>
      </c>
      <c r="K986" s="3" t="s">
        <v>219</v>
      </c>
      <c r="L986" s="12">
        <v>1177321</v>
      </c>
      <c r="M986" s="11">
        <v>2487937</v>
      </c>
    </row>
    <row r="987" spans="1:13">
      <c r="A987" s="15">
        <v>46235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7">
        <f>IFERROR(VLOOKUP(F987,Hoja2!$K$2:$M$1198,2,FALSE),0)</f>
        <v>5001000</v>
      </c>
      <c r="H987" s="17">
        <f>IFERROR(VLOOKUP(F987,Hoja2!$K$2:$M$1198,3,FALSE),0)</f>
        <v>54001000</v>
      </c>
      <c r="I987" s="3" t="s">
        <v>7</v>
      </c>
      <c r="J987" s="3" t="s">
        <v>217</v>
      </c>
      <c r="K987" s="3" t="s">
        <v>219</v>
      </c>
      <c r="L987" s="12">
        <v>1054340</v>
      </c>
      <c r="M987" s="11">
        <v>1962654</v>
      </c>
    </row>
    <row r="988" spans="1:13">
      <c r="A988" s="15">
        <v>46235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7">
        <f>IFERROR(VLOOKUP(F988,Hoja2!$K$2:$M$1198,2,FALSE),0)</f>
        <v>5001000</v>
      </c>
      <c r="H988" s="17">
        <f>IFERROR(VLOOKUP(F988,Hoja2!$K$2:$M$1198,3,FALSE),0)</f>
        <v>68001000</v>
      </c>
      <c r="I988" s="3" t="s">
        <v>7</v>
      </c>
      <c r="J988" s="3" t="s">
        <v>217</v>
      </c>
      <c r="K988" s="3" t="s">
        <v>219</v>
      </c>
      <c r="L988" s="12">
        <v>981863</v>
      </c>
      <c r="M988" s="11">
        <v>2061160</v>
      </c>
    </row>
    <row r="989" spans="1:13">
      <c r="A989" s="15">
        <v>46235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7">
        <f>IFERROR(VLOOKUP(F989,Hoja2!$K$2:$M$1198,2,FALSE),0)</f>
        <v>5001000</v>
      </c>
      <c r="H989" s="17">
        <f>IFERROR(VLOOKUP(F989,Hoja2!$K$2:$M$1198,3,FALSE),0)</f>
        <v>19001000</v>
      </c>
      <c r="I989" s="3" t="s">
        <v>7</v>
      </c>
      <c r="J989" s="3" t="s">
        <v>217</v>
      </c>
      <c r="K989" s="3" t="s">
        <v>219</v>
      </c>
      <c r="L989" s="12">
        <v>617759</v>
      </c>
      <c r="M989" s="11">
        <v>2572719</v>
      </c>
    </row>
    <row r="990" spans="1:13">
      <c r="A990" s="15">
        <v>46235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7">
        <f>IFERROR(VLOOKUP(F990,Hoja2!$K$2:$M$1198,2,FALSE),0)</f>
        <v>5001000</v>
      </c>
      <c r="H990" s="17">
        <f>IFERROR(VLOOKUP(F990,Hoja2!$K$2:$M$1198,3,FALSE),0)</f>
        <v>44001000</v>
      </c>
      <c r="I990" s="3" t="s">
        <v>7</v>
      </c>
      <c r="J990" s="3" t="s">
        <v>217</v>
      </c>
      <c r="K990" s="3" t="s">
        <v>219</v>
      </c>
      <c r="L990" s="12">
        <v>669074</v>
      </c>
      <c r="M990" s="11">
        <v>4254478</v>
      </c>
    </row>
    <row r="991" spans="1:13">
      <c r="A991" s="15">
        <v>46235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7">
        <f>IFERROR(VLOOKUP(F991,Hoja2!$K$2:$M$1198,2,FALSE),0)</f>
        <v>5001000</v>
      </c>
      <c r="H991" s="17">
        <f>IFERROR(VLOOKUP(F991,Hoja2!$K$2:$M$1198,3,FALSE),0)</f>
        <v>73001000</v>
      </c>
      <c r="I991" s="3" t="s">
        <v>7</v>
      </c>
      <c r="J991" s="3" t="s">
        <v>217</v>
      </c>
      <c r="K991" s="3" t="s">
        <v>219</v>
      </c>
      <c r="L991" s="12">
        <v>1041250</v>
      </c>
      <c r="M991" s="11">
        <v>2011288</v>
      </c>
    </row>
    <row r="992" spans="1:13">
      <c r="A992" s="15">
        <v>46235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7">
        <f>IFERROR(VLOOKUP(F992,Hoja2!$K$2:$M$1198,2,FALSE),0)</f>
        <v>0</v>
      </c>
      <c r="H992" s="17">
        <f>IFERROR(VLOOKUP(F992,Hoja2!$K$2:$M$1198,3,FALSE),0)</f>
        <v>0</v>
      </c>
      <c r="I992" s="3" t="s">
        <v>7</v>
      </c>
      <c r="J992" s="3" t="s">
        <v>217</v>
      </c>
      <c r="K992" s="3" t="s">
        <v>219</v>
      </c>
      <c r="L992" s="12">
        <v>475797</v>
      </c>
      <c r="M992" s="11">
        <v>2907329</v>
      </c>
    </row>
    <row r="993" spans="1:13">
      <c r="A993" s="15">
        <v>46235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7">
        <f>IFERROR(VLOOKUP(F993,Hoja2!$K$2:$M$1198,2,FALSE),0)</f>
        <v>5001000</v>
      </c>
      <c r="H993" s="17">
        <f>IFERROR(VLOOKUP(F993,Hoja2!$K$2:$M$1198,3,FALSE),0)</f>
        <v>52835000</v>
      </c>
      <c r="I993" s="3" t="s">
        <v>7</v>
      </c>
      <c r="J993" s="3" t="s">
        <v>217</v>
      </c>
      <c r="K993" s="3" t="s">
        <v>219</v>
      </c>
      <c r="L993" s="12">
        <v>639403</v>
      </c>
      <c r="M993" s="11">
        <v>4460030</v>
      </c>
    </row>
    <row r="994" spans="1:13">
      <c r="A994" s="15">
        <v>46235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7">
        <f>IFERROR(VLOOKUP(F994,Hoja2!$K$2:$M$1198,2,FALSE),0)</f>
        <v>5001000</v>
      </c>
      <c r="H994" s="17">
        <f>IFERROR(VLOOKUP(F994,Hoja2!$K$2:$M$1198,3,FALSE),0)</f>
        <v>15001000</v>
      </c>
      <c r="I994" s="3" t="s">
        <v>7</v>
      </c>
      <c r="J994" s="3" t="s">
        <v>217</v>
      </c>
      <c r="K994" s="3" t="s">
        <v>219</v>
      </c>
      <c r="L994" s="12">
        <v>517650</v>
      </c>
      <c r="M994" s="11">
        <v>2602641</v>
      </c>
    </row>
    <row r="995" spans="1:13">
      <c r="A995" s="15">
        <v>46235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7">
        <f>IFERROR(VLOOKUP(F995,Hoja2!$K$2:$M$1198,2,FALSE),0)</f>
        <v>5001000</v>
      </c>
      <c r="H995" s="17">
        <f>IFERROR(VLOOKUP(F995,Hoja2!$K$2:$M$1198,3,FALSE),0)</f>
        <v>11001000</v>
      </c>
      <c r="I995" s="3" t="s">
        <v>7</v>
      </c>
      <c r="J995" s="3" t="s">
        <v>217</v>
      </c>
      <c r="K995" s="3" t="s">
        <v>219</v>
      </c>
      <c r="L995" s="12">
        <v>1041250</v>
      </c>
      <c r="M995" s="11">
        <v>1724527</v>
      </c>
    </row>
    <row r="996" spans="1:13">
      <c r="A996" s="15">
        <v>46235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7">
        <f>IFERROR(VLOOKUP(F996,Hoja2!$K$2:$M$1198,2,FALSE),0)</f>
        <v>5001000</v>
      </c>
      <c r="H996" s="17">
        <f>IFERROR(VLOOKUP(F996,Hoja2!$K$2:$M$1198,3,FALSE),0)</f>
        <v>85001000</v>
      </c>
      <c r="I996" s="3" t="s">
        <v>7</v>
      </c>
      <c r="J996" s="3" t="s">
        <v>217</v>
      </c>
      <c r="K996" s="3" t="s">
        <v>219</v>
      </c>
      <c r="L996" s="12">
        <v>556584</v>
      </c>
      <c r="M996" s="11">
        <v>3168684</v>
      </c>
    </row>
    <row r="997" spans="1:13">
      <c r="A997" s="15">
        <v>46235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7">
        <f>IFERROR(VLOOKUP(F997,Hoja2!$K$2:$M$1198,2,FALSE),0)</f>
        <v>5001000</v>
      </c>
      <c r="H997" s="17">
        <f>IFERROR(VLOOKUP(F997,Hoja2!$K$2:$M$1198,3,FALSE),0)</f>
        <v>76895000</v>
      </c>
      <c r="I997" s="3" t="s">
        <v>7</v>
      </c>
      <c r="J997" s="3" t="s">
        <v>217</v>
      </c>
      <c r="K997" s="3" t="s">
        <v>219</v>
      </c>
      <c r="L997" s="12">
        <v>505885</v>
      </c>
      <c r="M997" s="11">
        <v>1624784</v>
      </c>
    </row>
    <row r="998" spans="1:13">
      <c r="A998" s="15">
        <v>46235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7">
        <f>IFERROR(VLOOKUP(F998,Hoja2!$K$2:$M$1198,2,FALSE),0)</f>
        <v>5001000</v>
      </c>
      <c r="H998" s="17">
        <f>IFERROR(VLOOKUP(F998,Hoja2!$K$2:$M$1198,3,FALSE),0)</f>
        <v>25899000</v>
      </c>
      <c r="I998" s="3" t="s">
        <v>7</v>
      </c>
      <c r="J998" s="3" t="s">
        <v>217</v>
      </c>
      <c r="K998" s="3" t="s">
        <v>219</v>
      </c>
      <c r="L998" s="12">
        <v>505885</v>
      </c>
      <c r="M998" s="11">
        <v>2008794</v>
      </c>
    </row>
    <row r="999" spans="1:13">
      <c r="A999" s="15">
        <v>46235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7">
        <f>IFERROR(VLOOKUP(F999,Hoja2!$K$2:$M$1198,2,FALSE),0)</f>
        <v>5001000</v>
      </c>
      <c r="H999" s="17">
        <f>IFERROR(VLOOKUP(F999,Hoja2!$K$2:$M$1198,3,FALSE),0)</f>
        <v>68081000</v>
      </c>
      <c r="I999" s="3" t="s">
        <v>7</v>
      </c>
      <c r="J999" s="3" t="s">
        <v>217</v>
      </c>
      <c r="K999" s="3" t="s">
        <v>219</v>
      </c>
      <c r="L999" s="12">
        <v>679087</v>
      </c>
      <c r="M999" s="11">
        <v>1627278</v>
      </c>
    </row>
    <row r="1000" spans="1:13">
      <c r="A1000" s="15">
        <v>46235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7">
        <f>IFERROR(VLOOKUP(F1000,Hoja2!$K$2:$M$1198,2,FALSE),0)</f>
        <v>5001000</v>
      </c>
      <c r="H1000" s="17">
        <f>IFERROR(VLOOKUP(F1000,Hoja2!$K$2:$M$1198,3,FALSE),0)</f>
        <v>54001000</v>
      </c>
      <c r="I1000" s="3" t="s">
        <v>7</v>
      </c>
      <c r="J1000" s="3" t="s">
        <v>217</v>
      </c>
      <c r="K1000" s="3" t="s">
        <v>219</v>
      </c>
      <c r="L1000" s="12">
        <v>543621</v>
      </c>
      <c r="M1000" s="11">
        <v>2707372</v>
      </c>
    </row>
    <row r="1001" spans="1:13">
      <c r="A1001" s="15">
        <v>46235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7">
        <f>IFERROR(VLOOKUP(F1001,Hoja2!$K$2:$M$1198,2,FALSE),0)</f>
        <v>5001000</v>
      </c>
      <c r="H1001" s="17">
        <f>IFERROR(VLOOKUP(F1001,Hoja2!$K$2:$M$1198,3,FALSE),0)</f>
        <v>23001000</v>
      </c>
      <c r="I1001" s="3" t="s">
        <v>7</v>
      </c>
      <c r="J1001" s="3" t="s">
        <v>217</v>
      </c>
      <c r="K1001" s="3" t="s">
        <v>219</v>
      </c>
      <c r="L1001" s="12">
        <v>534310</v>
      </c>
      <c r="M1001" s="11">
        <v>1909131</v>
      </c>
    </row>
    <row r="1002" spans="1:13">
      <c r="A1002" s="15">
        <v>46235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7">
        <f>IFERROR(VLOOKUP(F1002,Hoja2!$K$2:$M$1198,2,FALSE),0)</f>
        <v>5001000</v>
      </c>
      <c r="H1002" s="17">
        <f>IFERROR(VLOOKUP(F1002,Hoja2!$K$2:$M$1198,3,FALSE),0)</f>
        <v>50001000</v>
      </c>
      <c r="I1002" s="3" t="s">
        <v>7</v>
      </c>
      <c r="J1002" s="3" t="s">
        <v>217</v>
      </c>
      <c r="K1002" s="3" t="s">
        <v>219</v>
      </c>
      <c r="L1002" s="12">
        <v>614197</v>
      </c>
      <c r="M1002" s="11">
        <v>2555264</v>
      </c>
    </row>
    <row r="1003" spans="1:13">
      <c r="A1003" s="15">
        <v>46235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7">
        <f>IFERROR(VLOOKUP(F1003,Hoja2!$K$2:$M$1198,2,FALSE),0)</f>
        <v>5001000</v>
      </c>
      <c r="H1003" s="17">
        <f>IFERROR(VLOOKUP(F1003,Hoja2!$K$2:$M$1198,3,FALSE),0)</f>
        <v>66001000</v>
      </c>
      <c r="I1003" s="3" t="s">
        <v>7</v>
      </c>
      <c r="J1003" s="3" t="s">
        <v>217</v>
      </c>
      <c r="K1003" s="3" t="s">
        <v>219</v>
      </c>
      <c r="L1003" s="12">
        <v>619420</v>
      </c>
      <c r="M1003" s="11">
        <v>1111975</v>
      </c>
    </row>
    <row r="1004" spans="1:13">
      <c r="A1004" s="15">
        <v>46235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7">
        <f>IFERROR(VLOOKUP(F1004,Hoja2!$K$2:$M$1198,2,FALSE),0)</f>
        <v>0</v>
      </c>
      <c r="H1004" s="17">
        <f>IFERROR(VLOOKUP(F1004,Hoja2!$K$2:$M$1198,3,FALSE),0)</f>
        <v>0</v>
      </c>
      <c r="I1004" s="3" t="s">
        <v>7</v>
      </c>
      <c r="J1004" s="3" t="s">
        <v>217</v>
      </c>
      <c r="K1004" s="3" t="s">
        <v>219</v>
      </c>
      <c r="L1004" s="12">
        <v>518820</v>
      </c>
      <c r="M1004" s="11">
        <v>2793569</v>
      </c>
    </row>
    <row r="1005" spans="1:13">
      <c r="A1005" s="15">
        <v>46235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7">
        <f>IFERROR(VLOOKUP(F1005,Hoja2!$K$2:$M$1198,2,FALSE),0)</f>
        <v>66001000</v>
      </c>
      <c r="H1005" s="17">
        <f>IFERROR(VLOOKUP(F1005,Hoja2!$K$2:$M$1198,3,FALSE),0)</f>
        <v>19142000</v>
      </c>
      <c r="I1005" s="3" t="s">
        <v>7</v>
      </c>
      <c r="J1005" s="3" t="s">
        <v>217</v>
      </c>
      <c r="K1005" s="3" t="s">
        <v>219</v>
      </c>
      <c r="L1005" s="12">
        <v>619420</v>
      </c>
      <c r="M1005" s="11">
        <v>1087186</v>
      </c>
    </row>
    <row r="1006" spans="1:13">
      <c r="A1006" s="15">
        <v>46235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7">
        <f>IFERROR(VLOOKUP(F1006,Hoja2!$K$2:$M$1198,2,FALSE),0)</f>
        <v>66001000</v>
      </c>
      <c r="H1006" s="17">
        <f>IFERROR(VLOOKUP(F1006,Hoja2!$K$2:$M$1198,3,FALSE),0)</f>
        <v>68081000</v>
      </c>
      <c r="I1006" s="3" t="s">
        <v>7</v>
      </c>
      <c r="J1006" s="3" t="s">
        <v>217</v>
      </c>
      <c r="K1006" s="3" t="s">
        <v>219</v>
      </c>
      <c r="L1006" s="12">
        <v>1277901</v>
      </c>
      <c r="M1006" s="11">
        <v>2969197</v>
      </c>
    </row>
    <row r="1007" spans="1:13">
      <c r="A1007" s="15">
        <v>46235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7">
        <f>IFERROR(VLOOKUP(F1007,Hoja2!$K$2:$M$1198,2,FALSE),0)</f>
        <v>66001000</v>
      </c>
      <c r="H1007" s="17">
        <f>IFERROR(VLOOKUP(F1007,Hoja2!$K$2:$M$1198,3,FALSE),0)</f>
        <v>47001000</v>
      </c>
      <c r="I1007" s="3" t="s">
        <v>7</v>
      </c>
      <c r="J1007" s="3" t="s">
        <v>217</v>
      </c>
      <c r="K1007" s="3" t="s">
        <v>219</v>
      </c>
      <c r="L1007" s="12">
        <v>795525</v>
      </c>
      <c r="M1007" s="11">
        <v>4415146</v>
      </c>
    </row>
    <row r="1008" spans="1:13">
      <c r="A1008" s="15">
        <v>46235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7">
        <f>IFERROR(VLOOKUP(F1008,Hoja2!$K$2:$M$1198,2,FALSE),0)</f>
        <v>66001000</v>
      </c>
      <c r="H1008" s="17">
        <f>IFERROR(VLOOKUP(F1008,Hoja2!$K$2:$M$1198,3,FALSE),0)</f>
        <v>63001000</v>
      </c>
      <c r="I1008" s="3" t="s">
        <v>7</v>
      </c>
      <c r="J1008" s="3" t="s">
        <v>217</v>
      </c>
      <c r="K1008" s="3" t="s">
        <v>219</v>
      </c>
      <c r="L1008" s="12">
        <v>875285</v>
      </c>
      <c r="M1008" s="11">
        <v>519784</v>
      </c>
    </row>
    <row r="1009" spans="1:13">
      <c r="A1009" s="15">
        <v>46235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7">
        <f>IFERROR(VLOOKUP(F1009,Hoja2!$K$2:$M$1198,2,FALSE),0)</f>
        <v>66001000</v>
      </c>
      <c r="H1009" s="17">
        <f>IFERROR(VLOOKUP(F1009,Hoja2!$K$2:$M$1198,3,FALSE),0)</f>
        <v>15238000</v>
      </c>
      <c r="I1009" s="3" t="s">
        <v>7</v>
      </c>
      <c r="J1009" s="3" t="s">
        <v>217</v>
      </c>
      <c r="K1009" s="3" t="s">
        <v>219</v>
      </c>
      <c r="L1009" s="12">
        <v>646671</v>
      </c>
      <c r="M1009" s="11">
        <v>2199384</v>
      </c>
    </row>
    <row r="1010" spans="1:13">
      <c r="A1010" s="15">
        <v>46235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7">
        <f>IFERROR(VLOOKUP(F1010,Hoja2!$K$2:$M$1198,2,FALSE),0)</f>
        <v>66001000</v>
      </c>
      <c r="H1010" s="17">
        <f>IFERROR(VLOOKUP(F1010,Hoja2!$K$2:$M$1198,3,FALSE),0)</f>
        <v>47001000</v>
      </c>
      <c r="I1010" s="3" t="s">
        <v>7</v>
      </c>
      <c r="J1010" s="3" t="s">
        <v>217</v>
      </c>
      <c r="K1010" s="3" t="s">
        <v>219</v>
      </c>
      <c r="L1010" s="12">
        <v>864227</v>
      </c>
      <c r="M1010" s="11">
        <v>4143298</v>
      </c>
    </row>
    <row r="1011" spans="1:13">
      <c r="A1011" s="15">
        <v>46235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7">
        <f>IFERROR(VLOOKUP(F1011,Hoja2!$K$2:$M$1198,2,FALSE),0)</f>
        <v>66001000</v>
      </c>
      <c r="H1011" s="17">
        <f>IFERROR(VLOOKUP(F1011,Hoja2!$K$2:$M$1198,3,FALSE),0)</f>
        <v>76109000</v>
      </c>
      <c r="I1011" s="3" t="s">
        <v>7</v>
      </c>
      <c r="J1011" s="3" t="s">
        <v>217</v>
      </c>
      <c r="K1011" s="3" t="s">
        <v>219</v>
      </c>
      <c r="L1011" s="12">
        <v>916008</v>
      </c>
      <c r="M1011" s="11">
        <v>1203060</v>
      </c>
    </row>
    <row r="1012" spans="1:13">
      <c r="A1012" s="15">
        <v>46235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7">
        <f>IFERROR(VLOOKUP(F1012,Hoja2!$K$2:$M$1198,2,FALSE),0)</f>
        <v>66001000</v>
      </c>
      <c r="H1012" s="17">
        <f>IFERROR(VLOOKUP(F1012,Hoja2!$K$2:$M$1198,3,FALSE),0)</f>
        <v>11001000</v>
      </c>
      <c r="I1012" s="3" t="s">
        <v>7</v>
      </c>
      <c r="J1012" s="3" t="s">
        <v>217</v>
      </c>
      <c r="K1012" s="3" t="s">
        <v>219</v>
      </c>
      <c r="L1012" s="12">
        <v>1141430</v>
      </c>
      <c r="M1012" s="11">
        <v>1717046</v>
      </c>
    </row>
    <row r="1013" spans="1:13">
      <c r="A1013" s="15">
        <v>46235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7">
        <f>IFERROR(VLOOKUP(F1013,Hoja2!$K$2:$M$1198,2,FALSE),0)</f>
        <v>66001000</v>
      </c>
      <c r="H1013" s="17">
        <f>IFERROR(VLOOKUP(F1013,Hoja2!$K$2:$M$1198,3,FALSE),0)</f>
        <v>23001000</v>
      </c>
      <c r="I1013" s="3" t="s">
        <v>7</v>
      </c>
      <c r="J1013" s="3" t="s">
        <v>217</v>
      </c>
      <c r="K1013" s="3" t="s">
        <v>219</v>
      </c>
      <c r="L1013" s="12">
        <v>882291</v>
      </c>
      <c r="M1013" s="11">
        <v>2505392</v>
      </c>
    </row>
    <row r="1014" spans="1:13">
      <c r="A1014" s="15">
        <v>46235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7">
        <f>IFERROR(VLOOKUP(F1014,Hoja2!$K$2:$M$1198,2,FALSE),0)</f>
        <v>66001000</v>
      </c>
      <c r="H1014" s="17">
        <f>IFERROR(VLOOKUP(F1014,Hoja2!$K$2:$M$1198,3,FALSE),0)</f>
        <v>5001000</v>
      </c>
      <c r="I1014" s="3" t="s">
        <v>7</v>
      </c>
      <c r="J1014" s="3" t="s">
        <v>217</v>
      </c>
      <c r="K1014" s="3" t="s">
        <v>219</v>
      </c>
      <c r="L1014" s="12">
        <v>712096</v>
      </c>
      <c r="M1014" s="11">
        <v>2211852</v>
      </c>
    </row>
    <row r="1015" spans="1:13">
      <c r="A1015" s="15">
        <v>46235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7">
        <f>IFERROR(VLOOKUP(F1015,Hoja2!$K$2:$M$1198,2,FALSE),0)</f>
        <v>66001000</v>
      </c>
      <c r="H1015" s="17">
        <f>IFERROR(VLOOKUP(F1015,Hoja2!$K$2:$M$1198,3,FALSE),0)</f>
        <v>15238000</v>
      </c>
      <c r="I1015" s="3" t="s">
        <v>7</v>
      </c>
      <c r="J1015" s="3" t="s">
        <v>217</v>
      </c>
      <c r="K1015" s="3" t="s">
        <v>219</v>
      </c>
      <c r="L1015" s="12">
        <v>646671</v>
      </c>
      <c r="M1015" s="11">
        <v>2118550</v>
      </c>
    </row>
    <row r="1016" spans="1:13">
      <c r="A1016" s="15">
        <v>46235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7">
        <f>IFERROR(VLOOKUP(F1016,Hoja2!$K$2:$M$1198,2,FALSE),0)</f>
        <v>66001000</v>
      </c>
      <c r="H1016" s="17">
        <f>IFERROR(VLOOKUP(F1016,Hoja2!$K$2:$M$1198,3,FALSE),0)</f>
        <v>20001000</v>
      </c>
      <c r="I1016" s="3" t="s">
        <v>7</v>
      </c>
      <c r="J1016" s="3" t="s">
        <v>217</v>
      </c>
      <c r="K1016" s="3" t="s">
        <v>219</v>
      </c>
      <c r="L1016" s="12">
        <v>1231050</v>
      </c>
      <c r="M1016" s="11">
        <v>4455043</v>
      </c>
    </row>
    <row r="1017" spans="1:13">
      <c r="A1017" s="15">
        <v>46235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7">
        <f>IFERROR(VLOOKUP(F1017,Hoja2!$K$2:$M$1198,2,FALSE),0)</f>
        <v>66001000</v>
      </c>
      <c r="H1017" s="17">
        <f>IFERROR(VLOOKUP(F1017,Hoja2!$K$2:$M$1198,3,FALSE),0)</f>
        <v>11001000</v>
      </c>
      <c r="I1017" s="3" t="s">
        <v>7</v>
      </c>
      <c r="J1017" s="3" t="s">
        <v>217</v>
      </c>
      <c r="K1017" s="3" t="s">
        <v>219</v>
      </c>
      <c r="L1017" s="12">
        <v>1141430</v>
      </c>
      <c r="M1017" s="11">
        <v>1196048</v>
      </c>
    </row>
    <row r="1018" spans="1:13">
      <c r="A1018" s="15">
        <v>46235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7">
        <f>IFERROR(VLOOKUP(F1018,Hoja2!$K$2:$M$1198,2,FALSE),0)</f>
        <v>66001000</v>
      </c>
      <c r="H1018" s="17">
        <f>IFERROR(VLOOKUP(F1018,Hoja2!$K$2:$M$1198,3,FALSE),0)</f>
        <v>41001000</v>
      </c>
      <c r="I1018" s="3" t="s">
        <v>7</v>
      </c>
      <c r="J1018" s="3" t="s">
        <v>217</v>
      </c>
      <c r="K1018" s="3" t="s">
        <v>219</v>
      </c>
      <c r="L1018" s="12">
        <v>1193000</v>
      </c>
      <c r="M1018" s="11">
        <v>1995619</v>
      </c>
    </row>
    <row r="1019" spans="1:13">
      <c r="A1019" s="15">
        <v>46235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7">
        <f>IFERROR(VLOOKUP(F1019,Hoja2!$K$2:$M$1198,2,FALSE),0)</f>
        <v>66001000</v>
      </c>
      <c r="H1019" s="17">
        <f>IFERROR(VLOOKUP(F1019,Hoja2!$K$2:$M$1198,3,FALSE),0)</f>
        <v>73001000</v>
      </c>
      <c r="I1019" s="3" t="s">
        <v>7</v>
      </c>
      <c r="J1019" s="3" t="s">
        <v>217</v>
      </c>
      <c r="K1019" s="3" t="s">
        <v>219</v>
      </c>
      <c r="L1019" s="12">
        <v>619420</v>
      </c>
      <c r="M1019" s="11">
        <v>939024</v>
      </c>
    </row>
    <row r="1020" spans="1:13">
      <c r="A1020" s="15">
        <v>46235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7">
        <f>IFERROR(VLOOKUP(F1020,Hoja2!$K$2:$M$1198,2,FALSE),0)</f>
        <v>66001000</v>
      </c>
      <c r="H1020" s="17">
        <f>IFERROR(VLOOKUP(F1020,Hoja2!$K$2:$M$1198,3,FALSE),0)</f>
        <v>52356000</v>
      </c>
      <c r="I1020" s="3" t="s">
        <v>7</v>
      </c>
      <c r="J1020" s="3" t="s">
        <v>217</v>
      </c>
      <c r="K1020" s="3" t="s">
        <v>219</v>
      </c>
      <c r="L1020" s="12">
        <v>689672</v>
      </c>
      <c r="M1020" s="11">
        <v>2820726</v>
      </c>
    </row>
    <row r="1021" spans="1:13">
      <c r="A1021" s="15">
        <v>46235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7">
        <f>IFERROR(VLOOKUP(F1021,Hoja2!$K$2:$M$1198,2,FALSE),0)</f>
        <v>66001000</v>
      </c>
      <c r="H1021" s="17">
        <f>IFERROR(VLOOKUP(F1021,Hoja2!$K$2:$M$1198,3,FALSE),0)</f>
        <v>5360000</v>
      </c>
      <c r="I1021" s="3" t="s">
        <v>7</v>
      </c>
      <c r="J1021" s="3" t="s">
        <v>217</v>
      </c>
      <c r="K1021" s="3" t="s">
        <v>219</v>
      </c>
      <c r="L1021" s="12">
        <v>619420</v>
      </c>
      <c r="M1021" s="11">
        <v>1158645</v>
      </c>
    </row>
    <row r="1022" spans="1:13">
      <c r="A1022" s="15">
        <v>46235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7">
        <f>IFERROR(VLOOKUP(F1022,Hoja2!$K$2:$M$1198,2,FALSE),0)</f>
        <v>66001000</v>
      </c>
      <c r="H1022" s="17">
        <f>IFERROR(VLOOKUP(F1022,Hoja2!$K$2:$M$1198,3,FALSE),0)</f>
        <v>76364000</v>
      </c>
      <c r="I1022" s="3" t="s">
        <v>7</v>
      </c>
      <c r="J1022" s="3" t="s">
        <v>217</v>
      </c>
      <c r="K1022" s="3" t="s">
        <v>219</v>
      </c>
      <c r="L1022" s="12">
        <v>672998</v>
      </c>
      <c r="M1022" s="11">
        <v>1125669</v>
      </c>
    </row>
    <row r="1023" spans="1:13">
      <c r="A1023" s="15">
        <v>46235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7">
        <f>IFERROR(VLOOKUP(F1023,Hoja2!$K$2:$M$1198,2,FALSE),0)</f>
        <v>66001000</v>
      </c>
      <c r="H1023" s="17">
        <f>IFERROR(VLOOKUP(F1023,Hoja2!$K$2:$M$1198,3,FALSE),0)</f>
        <v>17380000</v>
      </c>
      <c r="I1023" s="3" t="s">
        <v>7</v>
      </c>
      <c r="J1023" s="3" t="s">
        <v>217</v>
      </c>
      <c r="K1023" s="3" t="s">
        <v>219</v>
      </c>
      <c r="L1023" s="12">
        <v>1141830</v>
      </c>
      <c r="M1023" s="11">
        <v>1507401</v>
      </c>
    </row>
    <row r="1024" spans="1:13">
      <c r="A1024" s="15">
        <v>46235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7">
        <f>IFERROR(VLOOKUP(F1024,Hoja2!$K$2:$M$1198,2,FALSE),0)</f>
        <v>66001000</v>
      </c>
      <c r="H1024" s="17">
        <f>IFERROR(VLOOKUP(F1024,Hoja2!$K$2:$M$1198,3,FALSE),0)</f>
        <v>25430000</v>
      </c>
      <c r="I1024" s="3" t="s">
        <v>7</v>
      </c>
      <c r="J1024" s="3" t="s">
        <v>217</v>
      </c>
      <c r="K1024" s="3" t="s">
        <v>219</v>
      </c>
      <c r="L1024" s="12">
        <v>619420</v>
      </c>
      <c r="M1024" s="11">
        <v>1663746</v>
      </c>
    </row>
    <row r="1025" spans="1:13">
      <c r="A1025" s="15">
        <v>46235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7">
        <f>IFERROR(VLOOKUP(F1025,Hoja2!$K$2:$M$1198,2,FALSE),0)</f>
        <v>66001000</v>
      </c>
      <c r="H1025" s="17">
        <f>IFERROR(VLOOKUP(F1025,Hoja2!$K$2:$M$1198,3,FALSE),0)</f>
        <v>70001000</v>
      </c>
      <c r="I1025" s="3" t="s">
        <v>7</v>
      </c>
      <c r="J1025" s="3" t="s">
        <v>217</v>
      </c>
      <c r="K1025" s="3" t="s">
        <v>219</v>
      </c>
      <c r="L1025" s="12">
        <v>795525</v>
      </c>
      <c r="M1025" s="11">
        <v>3191126</v>
      </c>
    </row>
    <row r="1026" spans="1:13">
      <c r="A1026" s="15">
        <v>46235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7">
        <f>IFERROR(VLOOKUP(F1026,Hoja2!$K$2:$M$1198,2,FALSE),0)</f>
        <v>66001000</v>
      </c>
      <c r="H1026" s="17">
        <f>IFERROR(VLOOKUP(F1026,Hoja2!$K$2:$M$1198,3,FALSE),0)</f>
        <v>44001000</v>
      </c>
      <c r="I1026" s="3" t="s">
        <v>7</v>
      </c>
      <c r="J1026" s="3" t="s">
        <v>217</v>
      </c>
      <c r="K1026" s="3" t="s">
        <v>219</v>
      </c>
      <c r="L1026" s="12">
        <v>795525</v>
      </c>
      <c r="M1026" s="11">
        <v>5219167</v>
      </c>
    </row>
    <row r="1027" spans="1:13">
      <c r="A1027" s="15">
        <v>46235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7">
        <f>IFERROR(VLOOKUP(F1027,Hoja2!$K$2:$M$1198,2,FALSE),0)</f>
        <v>66001000</v>
      </c>
      <c r="H1027" s="17">
        <f>IFERROR(VLOOKUP(F1027,Hoja2!$K$2:$M$1198,3,FALSE),0)</f>
        <v>73443000</v>
      </c>
      <c r="I1027" s="3" t="s">
        <v>7</v>
      </c>
      <c r="J1027" s="3" t="s">
        <v>217</v>
      </c>
      <c r="K1027" s="3" t="s">
        <v>219</v>
      </c>
      <c r="L1027" s="12">
        <v>1252500</v>
      </c>
      <c r="M1027" s="11">
        <v>1189438</v>
      </c>
    </row>
    <row r="1028" spans="1:13">
      <c r="A1028" s="15">
        <v>46235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7">
        <f>IFERROR(VLOOKUP(F1028,Hoja2!$K$2:$M$1198,2,FALSE),0)</f>
        <v>66001000</v>
      </c>
      <c r="H1028" s="17">
        <f>IFERROR(VLOOKUP(F1028,Hoja2!$K$2:$M$1198,3,FALSE),0)</f>
        <v>20001000</v>
      </c>
      <c r="I1028" s="3" t="s">
        <v>7</v>
      </c>
      <c r="J1028" s="3" t="s">
        <v>217</v>
      </c>
      <c r="K1028" s="3" t="s">
        <v>219</v>
      </c>
      <c r="L1028" s="12">
        <v>1277901</v>
      </c>
      <c r="M1028" s="11">
        <v>3087560</v>
      </c>
    </row>
    <row r="1029" spans="1:13">
      <c r="A1029" s="15">
        <v>46235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7">
        <f>IFERROR(VLOOKUP(F1029,Hoja2!$K$2:$M$1198,2,FALSE),0)</f>
        <v>66001000</v>
      </c>
      <c r="H1029" s="17">
        <f>IFERROR(VLOOKUP(F1029,Hoja2!$K$2:$M$1198,3,FALSE),0)</f>
        <v>68001000</v>
      </c>
      <c r="I1029" s="3" t="s">
        <v>7</v>
      </c>
      <c r="J1029" s="3" t="s">
        <v>217</v>
      </c>
      <c r="K1029" s="3" t="s">
        <v>219</v>
      </c>
      <c r="L1029" s="12">
        <v>1082443</v>
      </c>
      <c r="M1029" s="11">
        <v>2777683</v>
      </c>
    </row>
    <row r="1030" spans="1:13">
      <c r="A1030" s="15">
        <v>46235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7">
        <f>IFERROR(VLOOKUP(F1030,Hoja2!$K$2:$M$1198,2,FALSE),0)</f>
        <v>66001000</v>
      </c>
      <c r="H1030" s="17">
        <f>IFERROR(VLOOKUP(F1030,Hoja2!$K$2:$M$1198,3,FALSE),0)</f>
        <v>19001000</v>
      </c>
      <c r="I1030" s="3" t="s">
        <v>7</v>
      </c>
      <c r="J1030" s="3" t="s">
        <v>217</v>
      </c>
      <c r="K1030" s="3" t="s">
        <v>219</v>
      </c>
      <c r="L1030" s="12">
        <v>718339</v>
      </c>
      <c r="M1030" s="11">
        <v>1637067</v>
      </c>
    </row>
    <row r="1031" spans="1:13">
      <c r="A1031" s="15">
        <v>46235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7">
        <f>IFERROR(VLOOKUP(F1031,Hoja2!$K$2:$M$1198,2,FALSE),0)</f>
        <v>66001000</v>
      </c>
      <c r="H1031" s="17">
        <f>IFERROR(VLOOKUP(F1031,Hoja2!$K$2:$M$1198,3,FALSE),0)</f>
        <v>73001000</v>
      </c>
      <c r="I1031" s="3" t="s">
        <v>7</v>
      </c>
      <c r="J1031" s="3" t="s">
        <v>217</v>
      </c>
      <c r="K1031" s="3" t="s">
        <v>219</v>
      </c>
      <c r="L1031" s="12">
        <v>620610</v>
      </c>
      <c r="M1031" s="11">
        <v>1071369</v>
      </c>
    </row>
    <row r="1032" spans="1:13">
      <c r="A1032" s="15">
        <v>46235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7">
        <f>IFERROR(VLOOKUP(F1032,Hoja2!$K$2:$M$1198,2,FALSE),0)</f>
        <v>66001000</v>
      </c>
      <c r="H1032" s="17">
        <f>IFERROR(VLOOKUP(F1032,Hoja2!$K$2:$M$1198,3,FALSE),0)</f>
        <v>44001000</v>
      </c>
      <c r="I1032" s="3" t="s">
        <v>7</v>
      </c>
      <c r="J1032" s="3" t="s">
        <v>217</v>
      </c>
      <c r="K1032" s="3" t="s">
        <v>219</v>
      </c>
      <c r="L1032" s="12">
        <v>758616</v>
      </c>
      <c r="M1032" s="11">
        <v>5254077</v>
      </c>
    </row>
    <row r="1033" spans="1:13">
      <c r="A1033" s="15">
        <v>46235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7">
        <f>IFERROR(VLOOKUP(F1033,Hoja2!$K$2:$M$1198,2,FALSE),0)</f>
        <v>66001000</v>
      </c>
      <c r="H1033" s="17">
        <f>IFERROR(VLOOKUP(F1033,Hoja2!$K$2:$M$1198,3,FALSE),0)</f>
        <v>5615000</v>
      </c>
      <c r="I1033" s="3" t="s">
        <v>7</v>
      </c>
      <c r="J1033" s="3" t="s">
        <v>217</v>
      </c>
      <c r="K1033" s="3" t="s">
        <v>219</v>
      </c>
      <c r="L1033" s="12">
        <v>588105</v>
      </c>
      <c r="M1033" s="11">
        <v>1525041</v>
      </c>
    </row>
    <row r="1034" spans="1:13">
      <c r="A1034" s="15">
        <v>46235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7">
        <f>IFERROR(VLOOKUP(F1034,Hoja2!$K$2:$M$1198,2,FALSE),0)</f>
        <v>66001000</v>
      </c>
      <c r="H1034" s="17">
        <f>IFERROR(VLOOKUP(F1034,Hoja2!$K$2:$M$1198,3,FALSE),0)</f>
        <v>73001000</v>
      </c>
      <c r="I1034" s="3" t="s">
        <v>7</v>
      </c>
      <c r="J1034" s="3" t="s">
        <v>217</v>
      </c>
      <c r="K1034" s="3" t="s">
        <v>219</v>
      </c>
      <c r="L1034" s="12">
        <v>1141830</v>
      </c>
      <c r="M1034" s="11">
        <v>1038768</v>
      </c>
    </row>
    <row r="1035" spans="1:13">
      <c r="A1035" s="15">
        <v>46235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7">
        <f>IFERROR(VLOOKUP(F1035,Hoja2!$K$2:$M$1198,2,FALSE),0)</f>
        <v>66001000</v>
      </c>
      <c r="H1035" s="17">
        <f>IFERROR(VLOOKUP(F1035,Hoja2!$K$2:$M$1198,3,FALSE),0)</f>
        <v>5001000</v>
      </c>
      <c r="I1035" s="3" t="s">
        <v>7</v>
      </c>
      <c r="J1035" s="3" t="s">
        <v>217</v>
      </c>
      <c r="K1035" s="3" t="s">
        <v>219</v>
      </c>
      <c r="L1035" s="12">
        <v>671047</v>
      </c>
      <c r="M1035" s="11">
        <v>1549976</v>
      </c>
    </row>
    <row r="1036" spans="1:13">
      <c r="A1036" s="15">
        <v>46235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7">
        <f>IFERROR(VLOOKUP(F1036,Hoja2!$K$2:$M$1198,2,FALSE),0)</f>
        <v>66001000</v>
      </c>
      <c r="H1036" s="17">
        <f>IFERROR(VLOOKUP(F1036,Hoja2!$K$2:$M$1198,3,FALSE),0)</f>
        <v>70001000</v>
      </c>
      <c r="I1036" s="3" t="s">
        <v>7</v>
      </c>
      <c r="J1036" s="3" t="s">
        <v>217</v>
      </c>
      <c r="K1036" s="3" t="s">
        <v>219</v>
      </c>
      <c r="L1036" s="12">
        <v>882291</v>
      </c>
      <c r="M1036" s="11">
        <v>2939274</v>
      </c>
    </row>
    <row r="1037" spans="1:13">
      <c r="A1037" s="15">
        <v>46235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7">
        <f>IFERROR(VLOOKUP(F1037,Hoja2!$K$2:$M$1198,2,FALSE),0)</f>
        <v>66001000</v>
      </c>
      <c r="H1037" s="17">
        <f>IFERROR(VLOOKUP(F1037,Hoja2!$K$2:$M$1198,3,FALSE),0)</f>
        <v>52835000</v>
      </c>
      <c r="I1037" s="3" t="s">
        <v>7</v>
      </c>
      <c r="J1037" s="3" t="s">
        <v>217</v>
      </c>
      <c r="K1037" s="3" t="s">
        <v>219</v>
      </c>
      <c r="L1037" s="12">
        <v>732672</v>
      </c>
      <c r="M1037" s="11">
        <v>3943691</v>
      </c>
    </row>
    <row r="1038" spans="1:13">
      <c r="A1038" s="15">
        <v>46235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7">
        <f>IFERROR(VLOOKUP(F1038,Hoja2!$K$2:$M$1198,2,FALSE),0)</f>
        <v>66001000</v>
      </c>
      <c r="H1038" s="17">
        <f>IFERROR(VLOOKUP(F1038,Hoja2!$K$2:$M$1198,3,FALSE),0)</f>
        <v>15238000</v>
      </c>
      <c r="I1038" s="3" t="s">
        <v>7</v>
      </c>
      <c r="J1038" s="3" t="s">
        <v>217</v>
      </c>
      <c r="K1038" s="3" t="s">
        <v>219</v>
      </c>
      <c r="L1038" s="12">
        <v>618230</v>
      </c>
      <c r="M1038" s="11">
        <v>2142416</v>
      </c>
    </row>
    <row r="1039" spans="1:13">
      <c r="A1039" s="15">
        <v>46235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7">
        <f>IFERROR(VLOOKUP(F1039,Hoja2!$K$2:$M$1198,2,FALSE),0)</f>
        <v>66001000</v>
      </c>
      <c r="H1039" s="17">
        <f>IFERROR(VLOOKUP(F1039,Hoja2!$K$2:$M$1198,3,FALSE),0)</f>
        <v>11001000</v>
      </c>
      <c r="I1039" s="3" t="s">
        <v>7</v>
      </c>
      <c r="J1039" s="3" t="s">
        <v>217</v>
      </c>
      <c r="K1039" s="3" t="s">
        <v>219</v>
      </c>
      <c r="L1039" s="12">
        <v>1141830</v>
      </c>
      <c r="M1039" s="11">
        <v>1512573</v>
      </c>
    </row>
    <row r="1040" spans="1:13">
      <c r="A1040" s="15">
        <v>46235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7">
        <f>IFERROR(VLOOKUP(F1040,Hoja2!$K$2:$M$1198,2,FALSE),0)</f>
        <v>66001000</v>
      </c>
      <c r="H1040" s="17">
        <f>IFERROR(VLOOKUP(F1040,Hoja2!$K$2:$M$1198,3,FALSE),0)</f>
        <v>85001000</v>
      </c>
      <c r="I1040" s="3" t="s">
        <v>7</v>
      </c>
      <c r="J1040" s="3" t="s">
        <v>217</v>
      </c>
      <c r="K1040" s="3" t="s">
        <v>219</v>
      </c>
      <c r="L1040" s="12">
        <v>646671</v>
      </c>
      <c r="M1040" s="11">
        <v>2844518</v>
      </c>
    </row>
    <row r="1041" spans="1:13">
      <c r="A1041" s="15">
        <v>46235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7">
        <f>IFERROR(VLOOKUP(F1041,Hoja2!$K$2:$M$1198,2,FALSE),0)</f>
        <v>66001000</v>
      </c>
      <c r="H1041" s="17">
        <f>IFERROR(VLOOKUP(F1041,Hoja2!$K$2:$M$1198,3,FALSE),0)</f>
        <v>25899000</v>
      </c>
      <c r="I1041" s="3" t="s">
        <v>7</v>
      </c>
      <c r="J1041" s="3" t="s">
        <v>217</v>
      </c>
      <c r="K1041" s="3" t="s">
        <v>219</v>
      </c>
      <c r="L1041" s="12">
        <v>594549</v>
      </c>
      <c r="M1041" s="11">
        <v>1823937</v>
      </c>
    </row>
    <row r="1042" spans="1:13">
      <c r="A1042" s="15">
        <v>46235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7">
        <f>IFERROR(VLOOKUP(F1042,Hoja2!$K$2:$M$1198,2,FALSE),0)</f>
        <v>66001000</v>
      </c>
      <c r="H1042" s="17">
        <f>IFERROR(VLOOKUP(F1042,Hoja2!$K$2:$M$1198,3,FALSE),0)</f>
        <v>11001000</v>
      </c>
      <c r="I1042" s="3" t="s">
        <v>7</v>
      </c>
      <c r="J1042" s="3" t="s">
        <v>217</v>
      </c>
      <c r="K1042" s="3" t="s">
        <v>219</v>
      </c>
      <c r="L1042" s="12">
        <v>613659</v>
      </c>
      <c r="M1042" s="11">
        <v>1647041</v>
      </c>
    </row>
    <row r="1043" spans="1:13">
      <c r="A1043" s="15">
        <v>46235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7">
        <f>IFERROR(VLOOKUP(F1043,Hoja2!$K$2:$M$1198,2,FALSE),0)</f>
        <v>66001000</v>
      </c>
      <c r="H1043" s="17">
        <f>IFERROR(VLOOKUP(F1043,Hoja2!$K$2:$M$1198,3,FALSE),0)</f>
        <v>54001000</v>
      </c>
      <c r="I1043" s="3" t="s">
        <v>7</v>
      </c>
      <c r="J1043" s="3" t="s">
        <v>217</v>
      </c>
      <c r="K1043" s="3" t="s">
        <v>219</v>
      </c>
      <c r="L1043" s="12">
        <v>619420</v>
      </c>
      <c r="M1043" s="11">
        <v>3891494</v>
      </c>
    </row>
    <row r="1044" spans="1:13">
      <c r="A1044" s="15">
        <v>46235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7">
        <f>IFERROR(VLOOKUP(F1044,Hoja2!$K$2:$M$1198,2,FALSE),0)</f>
        <v>66001000</v>
      </c>
      <c r="H1044" s="17">
        <f>IFERROR(VLOOKUP(F1044,Hoja2!$K$2:$M$1198,3,FALSE),0)</f>
        <v>15238000</v>
      </c>
      <c r="I1044" s="3" t="s">
        <v>7</v>
      </c>
      <c r="J1044" s="3" t="s">
        <v>217</v>
      </c>
      <c r="K1044" s="3" t="s">
        <v>219</v>
      </c>
      <c r="L1044" s="12">
        <v>594549</v>
      </c>
      <c r="M1044" s="11">
        <v>2423359</v>
      </c>
    </row>
    <row r="1045" spans="1:13">
      <c r="A1045" s="15">
        <v>46235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7">
        <f>IFERROR(VLOOKUP(F1045,Hoja2!$K$2:$M$1198,2,FALSE),0)</f>
        <v>66001000</v>
      </c>
      <c r="H1045" s="17">
        <f>IFERROR(VLOOKUP(F1045,Hoja2!$K$2:$M$1198,3,FALSE),0)</f>
        <v>52001000</v>
      </c>
      <c r="I1045" s="3" t="s">
        <v>7</v>
      </c>
      <c r="J1045" s="3" t="s">
        <v>217</v>
      </c>
      <c r="K1045" s="3" t="s">
        <v>219</v>
      </c>
      <c r="L1045" s="12">
        <v>732672</v>
      </c>
      <c r="M1045" s="11">
        <v>2589380</v>
      </c>
    </row>
    <row r="1046" spans="1:13">
      <c r="A1046" s="15">
        <v>46235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7">
        <f>IFERROR(VLOOKUP(F1046,Hoja2!$K$2:$M$1198,2,FALSE),0)</f>
        <v>66001000</v>
      </c>
      <c r="H1046" s="17">
        <f>IFERROR(VLOOKUP(F1046,Hoja2!$K$2:$M$1198,3,FALSE),0)</f>
        <v>50001000</v>
      </c>
      <c r="I1046" s="3" t="s">
        <v>7</v>
      </c>
      <c r="J1046" s="3" t="s">
        <v>217</v>
      </c>
      <c r="K1046" s="3" t="s">
        <v>219</v>
      </c>
      <c r="L1046" s="12">
        <v>686890</v>
      </c>
      <c r="M1046" s="11">
        <v>1888540</v>
      </c>
    </row>
    <row r="1047" spans="1:13">
      <c r="A1047" s="15">
        <v>46235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7">
        <f>IFERROR(VLOOKUP(F1047,Hoja2!$K$2:$M$1198,2,FALSE),0)</f>
        <v>0</v>
      </c>
      <c r="H1047" s="17">
        <f>IFERROR(VLOOKUP(F1047,Hoja2!$K$2:$M$1198,3,FALSE),0)</f>
        <v>0</v>
      </c>
      <c r="I1047" s="3" t="s">
        <v>7</v>
      </c>
      <c r="J1047" s="3" t="s">
        <v>217</v>
      </c>
      <c r="K1047" s="3" t="s">
        <v>219</v>
      </c>
      <c r="L1047" s="12">
        <v>699450</v>
      </c>
      <c r="M1047" s="11">
        <v>805269</v>
      </c>
    </row>
    <row r="1048" spans="1:13">
      <c r="A1048" s="15">
        <v>46235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7">
        <f>IFERROR(VLOOKUP(F1048,Hoja2!$K$2:$M$1198,2,FALSE),0)</f>
        <v>0</v>
      </c>
      <c r="H1048" s="17">
        <f>IFERROR(VLOOKUP(F1048,Hoja2!$K$2:$M$1198,3,FALSE),0)</f>
        <v>0</v>
      </c>
      <c r="I1048" s="3" t="s">
        <v>7</v>
      </c>
      <c r="J1048" s="3" t="s">
        <v>217</v>
      </c>
      <c r="K1048" s="3" t="s">
        <v>219</v>
      </c>
      <c r="L1048" s="12">
        <v>518508</v>
      </c>
      <c r="M1048" s="11">
        <v>1872726</v>
      </c>
    </row>
    <row r="1049" spans="1:13">
      <c r="A1049" s="15">
        <v>46235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7">
        <f>IFERROR(VLOOKUP(F1049,Hoja2!$K$2:$M$1198,2,FALSE),0)</f>
        <v>76892000</v>
      </c>
      <c r="H1049" s="17">
        <f>IFERROR(VLOOKUP(F1049,Hoja2!$K$2:$M$1198,3,FALSE),0)</f>
        <v>19142000</v>
      </c>
      <c r="I1049" s="3" t="s">
        <v>7</v>
      </c>
      <c r="J1049" s="3" t="s">
        <v>217</v>
      </c>
      <c r="K1049" s="3" t="s">
        <v>219</v>
      </c>
      <c r="L1049" s="12">
        <v>518840</v>
      </c>
      <c r="M1049" s="11">
        <v>615536</v>
      </c>
    </row>
    <row r="1050" spans="1:13">
      <c r="A1050" s="15">
        <v>46235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7">
        <f>IFERROR(VLOOKUP(F1050,Hoja2!$K$2:$M$1198,2,FALSE),0)</f>
        <v>76892000</v>
      </c>
      <c r="H1050" s="17">
        <f>IFERROR(VLOOKUP(F1050,Hoja2!$K$2:$M$1198,3,FALSE),0)</f>
        <v>47001000</v>
      </c>
      <c r="I1050" s="3" t="s">
        <v>7</v>
      </c>
      <c r="J1050" s="3" t="s">
        <v>217</v>
      </c>
      <c r="K1050" s="3" t="s">
        <v>219</v>
      </c>
      <c r="L1050" s="12">
        <v>694945</v>
      </c>
      <c r="M1050" s="11">
        <v>5156827</v>
      </c>
    </row>
    <row r="1051" spans="1:13">
      <c r="A1051" s="15">
        <v>46235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7">
        <f>IFERROR(VLOOKUP(F1051,Hoja2!$K$2:$M$1198,2,FALSE),0)</f>
        <v>76892000</v>
      </c>
      <c r="H1051" s="17">
        <f>IFERROR(VLOOKUP(F1051,Hoja2!$K$2:$M$1198,3,FALSE),0)</f>
        <v>47001000</v>
      </c>
      <c r="I1051" s="3" t="s">
        <v>7</v>
      </c>
      <c r="J1051" s="3" t="s">
        <v>217</v>
      </c>
      <c r="K1051" s="3" t="s">
        <v>219</v>
      </c>
      <c r="L1051" s="12">
        <v>763647</v>
      </c>
      <c r="M1051" s="11">
        <v>4529512</v>
      </c>
    </row>
    <row r="1052" spans="1:13">
      <c r="A1052" s="15">
        <v>46235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7">
        <f>IFERROR(VLOOKUP(F1052,Hoja2!$K$2:$M$1198,2,FALSE),0)</f>
        <v>76892000</v>
      </c>
      <c r="H1052" s="17">
        <f>IFERROR(VLOOKUP(F1052,Hoja2!$K$2:$M$1198,3,FALSE),0)</f>
        <v>23001000</v>
      </c>
      <c r="I1052" s="3" t="s">
        <v>7</v>
      </c>
      <c r="J1052" s="3" t="s">
        <v>217</v>
      </c>
      <c r="K1052" s="3" t="s">
        <v>219</v>
      </c>
      <c r="L1052" s="12">
        <v>781711</v>
      </c>
      <c r="M1052" s="11">
        <v>2996958</v>
      </c>
    </row>
    <row r="1053" spans="1:13">
      <c r="A1053" s="15">
        <v>46235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7">
        <f>IFERROR(VLOOKUP(F1053,Hoja2!$K$2:$M$1198,2,FALSE),0)</f>
        <v>76892000</v>
      </c>
      <c r="H1053" s="17">
        <f>IFERROR(VLOOKUP(F1053,Hoja2!$K$2:$M$1198,3,FALSE),0)</f>
        <v>20001000</v>
      </c>
      <c r="I1053" s="3" t="s">
        <v>7</v>
      </c>
      <c r="J1053" s="3" t="s">
        <v>217</v>
      </c>
      <c r="K1053" s="3" t="s">
        <v>219</v>
      </c>
      <c r="L1053" s="12">
        <v>1130470</v>
      </c>
      <c r="M1053" s="11">
        <v>5311429</v>
      </c>
    </row>
    <row r="1054" spans="1:13">
      <c r="A1054" s="15">
        <v>46235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7">
        <f>IFERROR(VLOOKUP(F1054,Hoja2!$K$2:$M$1198,2,FALSE),0)</f>
        <v>76892000</v>
      </c>
      <c r="H1054" s="17">
        <f>IFERROR(VLOOKUP(F1054,Hoja2!$K$2:$M$1198,3,FALSE),0)</f>
        <v>11001000</v>
      </c>
      <c r="I1054" s="3" t="s">
        <v>7</v>
      </c>
      <c r="J1054" s="3" t="s">
        <v>217</v>
      </c>
      <c r="K1054" s="3" t="s">
        <v>219</v>
      </c>
      <c r="L1054" s="12">
        <v>450861</v>
      </c>
      <c r="M1054" s="11">
        <v>2518527</v>
      </c>
    </row>
    <row r="1055" spans="1:13">
      <c r="A1055" s="15">
        <v>46235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7">
        <f>IFERROR(VLOOKUP(F1055,Hoja2!$K$2:$M$1198,2,FALSE),0)</f>
        <v>76892000</v>
      </c>
      <c r="H1055" s="17">
        <f>IFERROR(VLOOKUP(F1055,Hoja2!$K$2:$M$1198,3,FALSE),0)</f>
        <v>11001000</v>
      </c>
      <c r="I1055" s="3" t="s">
        <v>7</v>
      </c>
      <c r="J1055" s="3" t="s">
        <v>217</v>
      </c>
      <c r="K1055" s="3" t="s">
        <v>219</v>
      </c>
      <c r="L1055" s="12">
        <v>1041250</v>
      </c>
      <c r="M1055" s="11">
        <v>1931237</v>
      </c>
    </row>
    <row r="1056" spans="1:13">
      <c r="A1056" s="15">
        <v>46235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7">
        <f>IFERROR(VLOOKUP(F1056,Hoja2!$K$2:$M$1198,2,FALSE),0)</f>
        <v>76892000</v>
      </c>
      <c r="H1056" s="17">
        <f>IFERROR(VLOOKUP(F1056,Hoja2!$K$2:$M$1198,3,FALSE),0)</f>
        <v>11001000</v>
      </c>
      <c r="I1056" s="3" t="s">
        <v>7</v>
      </c>
      <c r="J1056" s="3" t="s">
        <v>217</v>
      </c>
      <c r="K1056" s="3" t="s">
        <v>219</v>
      </c>
      <c r="L1056" s="12">
        <v>1041250</v>
      </c>
      <c r="M1056" s="11">
        <v>1872408</v>
      </c>
    </row>
    <row r="1057" spans="1:13">
      <c r="A1057" s="15">
        <v>46235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7">
        <f>IFERROR(VLOOKUP(F1057,Hoja2!$K$2:$M$1198,2,FALSE),0)</f>
        <v>76892000</v>
      </c>
      <c r="H1057" s="17">
        <f>IFERROR(VLOOKUP(F1057,Hoja2!$K$2:$M$1198,3,FALSE),0)</f>
        <v>70001000</v>
      </c>
      <c r="I1057" s="3" t="s">
        <v>7</v>
      </c>
      <c r="J1057" s="3" t="s">
        <v>217</v>
      </c>
      <c r="K1057" s="3" t="s">
        <v>219</v>
      </c>
      <c r="L1057" s="12">
        <v>694945</v>
      </c>
      <c r="M1057" s="11">
        <v>4325377</v>
      </c>
    </row>
    <row r="1058" spans="1:13">
      <c r="A1058" s="15">
        <v>46235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7">
        <f>IFERROR(VLOOKUP(F1058,Hoja2!$K$2:$M$1198,2,FALSE),0)</f>
        <v>76001000</v>
      </c>
      <c r="H1058" s="17">
        <f>IFERROR(VLOOKUP(F1058,Hoja2!$K$2:$M$1198,3,FALSE),0)</f>
        <v>44001000</v>
      </c>
      <c r="I1058" s="3" t="s">
        <v>7</v>
      </c>
      <c r="J1058" s="3" t="s">
        <v>217</v>
      </c>
      <c r="K1058" s="3" t="s">
        <v>219</v>
      </c>
      <c r="L1058" s="12">
        <v>694945</v>
      </c>
      <c r="M1058" s="11">
        <v>5545825</v>
      </c>
    </row>
    <row r="1059" spans="1:13">
      <c r="A1059" s="15">
        <v>46235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7">
        <f>IFERROR(VLOOKUP(F1059,Hoja2!$K$2:$M$1198,2,FALSE),0)</f>
        <v>76892000</v>
      </c>
      <c r="H1059" s="17">
        <f>IFERROR(VLOOKUP(F1059,Hoja2!$K$2:$M$1198,3,FALSE),0)</f>
        <v>20001000</v>
      </c>
      <c r="I1059" s="3" t="s">
        <v>7</v>
      </c>
      <c r="J1059" s="3" t="s">
        <v>217</v>
      </c>
      <c r="K1059" s="3" t="s">
        <v>219</v>
      </c>
      <c r="L1059" s="12">
        <v>1177321</v>
      </c>
      <c r="M1059" s="11">
        <v>3930314</v>
      </c>
    </row>
    <row r="1060" spans="1:13">
      <c r="A1060" s="15">
        <v>46235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7">
        <f>IFERROR(VLOOKUP(F1060,Hoja2!$K$2:$M$1198,2,FALSE),0)</f>
        <v>76892000</v>
      </c>
      <c r="H1060" s="17">
        <f>IFERROR(VLOOKUP(F1060,Hoja2!$K$2:$M$1198,3,FALSE),0)</f>
        <v>54001000</v>
      </c>
      <c r="I1060" s="3" t="s">
        <v>7</v>
      </c>
      <c r="J1060" s="3" t="s">
        <v>217</v>
      </c>
      <c r="K1060" s="3" t="s">
        <v>219</v>
      </c>
      <c r="L1060" s="12">
        <v>1054340</v>
      </c>
      <c r="M1060" s="11">
        <v>4189646</v>
      </c>
    </row>
    <row r="1061" spans="1:13">
      <c r="A1061" s="15">
        <v>46235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7">
        <f>IFERROR(VLOOKUP(F1061,Hoja2!$K$2:$M$1198,2,FALSE),0)</f>
        <v>76892000</v>
      </c>
      <c r="H1061" s="17">
        <f>IFERROR(VLOOKUP(F1061,Hoja2!$K$2:$M$1198,3,FALSE),0)</f>
        <v>5579000</v>
      </c>
      <c r="I1061" s="3" t="s">
        <v>7</v>
      </c>
      <c r="J1061" s="3" t="s">
        <v>217</v>
      </c>
      <c r="K1061" s="3" t="s">
        <v>219</v>
      </c>
      <c r="L1061" s="12">
        <v>806909</v>
      </c>
      <c r="M1061" s="11">
        <v>2697397</v>
      </c>
    </row>
    <row r="1062" spans="1:13">
      <c r="A1062" s="15">
        <v>46235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7">
        <f>IFERROR(VLOOKUP(F1062,Hoja2!$K$2:$M$1198,2,FALSE),0)</f>
        <v>76892000</v>
      </c>
      <c r="H1062" s="17">
        <f>IFERROR(VLOOKUP(F1062,Hoja2!$K$2:$M$1198,3,FALSE),0)</f>
        <v>47001000</v>
      </c>
      <c r="I1062" s="3" t="s">
        <v>7</v>
      </c>
      <c r="J1062" s="3" t="s">
        <v>217</v>
      </c>
      <c r="K1062" s="3" t="s">
        <v>219</v>
      </c>
      <c r="L1062" s="12">
        <v>658036</v>
      </c>
      <c r="M1062" s="11">
        <v>5706671</v>
      </c>
    </row>
    <row r="1063" spans="1:13">
      <c r="A1063" s="15">
        <v>46235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7">
        <f>IFERROR(VLOOKUP(F1063,Hoja2!$K$2:$M$1198,2,FALSE),0)</f>
        <v>0</v>
      </c>
      <c r="H1063" s="17">
        <f>IFERROR(VLOOKUP(F1063,Hoja2!$K$2:$M$1198,3,FALSE),0)</f>
        <v>0</v>
      </c>
      <c r="I1063" s="3" t="s">
        <v>7</v>
      </c>
      <c r="J1063" s="3" t="s">
        <v>217</v>
      </c>
      <c r="K1063" s="3" t="s">
        <v>219</v>
      </c>
      <c r="L1063" s="12">
        <v>448798</v>
      </c>
      <c r="M1063" s="11">
        <v>4524863</v>
      </c>
    </row>
    <row r="1064" spans="1:13">
      <c r="A1064" s="15">
        <v>46235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7">
        <f>IFERROR(VLOOKUP(F1064,Hoja2!$K$2:$M$1198,2,FALSE),0)</f>
        <v>76892000</v>
      </c>
      <c r="H1064" s="17">
        <f>IFERROR(VLOOKUP(F1064,Hoja2!$K$2:$M$1198,3,FALSE),0)</f>
        <v>5001000</v>
      </c>
      <c r="I1064" s="3" t="s">
        <v>7</v>
      </c>
      <c r="J1064" s="3" t="s">
        <v>217</v>
      </c>
      <c r="K1064" s="3" t="s">
        <v>219</v>
      </c>
      <c r="L1064" s="12">
        <v>543329</v>
      </c>
      <c r="M1064" s="11">
        <v>1973885</v>
      </c>
    </row>
    <row r="1065" spans="1:13">
      <c r="A1065" s="15">
        <v>46235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7">
        <f>IFERROR(VLOOKUP(F1065,Hoja2!$K$2:$M$1198,2,FALSE),0)</f>
        <v>76892000</v>
      </c>
      <c r="H1065" s="17">
        <f>IFERROR(VLOOKUP(F1065,Hoja2!$K$2:$M$1198,3,FALSE),0)</f>
        <v>11001000</v>
      </c>
      <c r="I1065" s="3" t="s">
        <v>7</v>
      </c>
      <c r="J1065" s="3" t="s">
        <v>217</v>
      </c>
      <c r="K1065" s="3" t="s">
        <v>219</v>
      </c>
      <c r="L1065" s="12">
        <v>1041250</v>
      </c>
      <c r="M1065" s="11">
        <v>2056444</v>
      </c>
    </row>
    <row r="1066" spans="1:13">
      <c r="A1066" s="15">
        <v>46235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7">
        <f>IFERROR(VLOOKUP(F1066,Hoja2!$K$2:$M$1198,2,FALSE),0)</f>
        <v>0</v>
      </c>
      <c r="H1066" s="17">
        <f>IFERROR(VLOOKUP(F1066,Hoja2!$K$2:$M$1198,3,FALSE),0)</f>
        <v>0</v>
      </c>
      <c r="I1066" s="3" t="s">
        <v>7</v>
      </c>
      <c r="J1066" s="3" t="s">
        <v>217</v>
      </c>
      <c r="K1066" s="3" t="s">
        <v>219</v>
      </c>
      <c r="L1066" s="12">
        <v>527170</v>
      </c>
      <c r="M1066" s="11">
        <v>3055553</v>
      </c>
    </row>
    <row r="1067" spans="1:13">
      <c r="A1067" s="15">
        <v>46235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7">
        <f>IFERROR(VLOOKUP(F1067,Hoja2!$K$2:$M$1198,2,FALSE),0)</f>
        <v>0</v>
      </c>
      <c r="H1067" s="17">
        <f>IFERROR(VLOOKUP(F1067,Hoja2!$K$2:$M$1198,3,FALSE),0)</f>
        <v>0</v>
      </c>
      <c r="I1067" s="3" t="s">
        <v>7</v>
      </c>
      <c r="J1067" s="3" t="s">
        <v>217</v>
      </c>
      <c r="K1067" s="3" t="s">
        <v>219</v>
      </c>
      <c r="L1067" s="12">
        <v>497406</v>
      </c>
      <c r="M1067" s="11">
        <v>537591</v>
      </c>
    </row>
    <row r="1068" spans="1:13">
      <c r="A1068" s="15">
        <v>46235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7">
        <f>IFERROR(VLOOKUP(F1068,Hoja2!$K$2:$M$1198,2,FALSE),0)</f>
        <v>0</v>
      </c>
      <c r="H1068" s="17">
        <f>IFERROR(VLOOKUP(F1068,Hoja2!$K$2:$M$1198,3,FALSE),0)</f>
        <v>0</v>
      </c>
      <c r="I1068" s="3" t="s">
        <v>7</v>
      </c>
      <c r="J1068" s="3" t="s">
        <v>217</v>
      </c>
      <c r="K1068" s="3" t="s">
        <v>219</v>
      </c>
      <c r="L1068" s="12">
        <v>598870</v>
      </c>
      <c r="M1068" s="11">
        <v>725984</v>
      </c>
    </row>
    <row r="1069" spans="1:13">
      <c r="A1069" s="15">
        <v>46235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7">
        <f>IFERROR(VLOOKUP(F1069,Hoja2!$K$2:$M$1198,2,FALSE),0)</f>
        <v>76892000</v>
      </c>
      <c r="H1069" s="17">
        <f>IFERROR(VLOOKUP(F1069,Hoja2!$K$2:$M$1198,3,FALSE),0)</f>
        <v>66001000</v>
      </c>
      <c r="I1069" s="3" t="s">
        <v>7</v>
      </c>
      <c r="J1069" s="3" t="s">
        <v>217</v>
      </c>
      <c r="K1069" s="3" t="s">
        <v>219</v>
      </c>
      <c r="L1069" s="12">
        <v>619420</v>
      </c>
      <c r="M1069" s="11">
        <v>1030936</v>
      </c>
    </row>
    <row r="1070" spans="1:13">
      <c r="A1070" s="15">
        <v>46235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7">
        <f>IFERROR(VLOOKUP(F1070,Hoja2!$K$2:$M$1198,2,FALSE),0)</f>
        <v>0</v>
      </c>
      <c r="H1070" s="17">
        <f>IFERROR(VLOOKUP(F1070,Hoja2!$K$2:$M$1198,3,FALSE),0)</f>
        <v>0</v>
      </c>
      <c r="I1070" s="3" t="s">
        <v>7</v>
      </c>
      <c r="J1070" s="3" t="s">
        <v>217</v>
      </c>
      <c r="K1070" s="3" t="s">
        <v>219</v>
      </c>
      <c r="L1070" s="12">
        <v>680418</v>
      </c>
      <c r="M1070" s="11">
        <v>184033</v>
      </c>
    </row>
    <row r="1071" spans="1:13">
      <c r="A1071" s="15">
        <v>46235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7">
        <f>IFERROR(VLOOKUP(F1071,Hoja2!$K$2:$M$1198,2,FALSE),0)</f>
        <v>0</v>
      </c>
      <c r="H1071" s="17">
        <f>IFERROR(VLOOKUP(F1071,Hoja2!$K$2:$M$1198,3,FALSE),0)</f>
        <v>0</v>
      </c>
      <c r="I1071" s="3" t="s">
        <v>7</v>
      </c>
      <c r="J1071" s="3" t="s">
        <v>217</v>
      </c>
      <c r="K1071" s="3" t="s">
        <v>219</v>
      </c>
      <c r="L1071" s="12">
        <v>621442</v>
      </c>
      <c r="M1071" s="11">
        <v>1724527</v>
      </c>
    </row>
    <row r="1072" spans="1:13">
      <c r="A1072" s="15">
        <v>46235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7">
        <f>IFERROR(VLOOKUP(F1072,Hoja2!$K$2:$M$1198,2,FALSE),0)</f>
        <v>0</v>
      </c>
      <c r="H1072" s="17">
        <f>IFERROR(VLOOKUP(F1072,Hoja2!$K$2:$M$1198,3,FALSE),0)</f>
        <v>0</v>
      </c>
      <c r="I1072" s="3" t="s">
        <v>7</v>
      </c>
      <c r="J1072" s="3" t="s">
        <v>217</v>
      </c>
      <c r="K1072" s="3" t="s">
        <v>219</v>
      </c>
      <c r="L1072" s="12">
        <v>630502</v>
      </c>
      <c r="M1072" s="11">
        <v>3962730</v>
      </c>
    </row>
    <row r="1073" spans="1:13">
      <c r="A1073" s="15">
        <v>46235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7">
        <f>IFERROR(VLOOKUP(F1073,Hoja2!$K$2:$M$1198,2,FALSE),0)</f>
        <v>0</v>
      </c>
      <c r="H1073" s="17">
        <f>IFERROR(VLOOKUP(F1073,Hoja2!$K$2:$M$1198,3,FALSE),0)</f>
        <v>0</v>
      </c>
      <c r="I1073" s="3" t="s">
        <v>7</v>
      </c>
      <c r="J1073" s="3" t="s">
        <v>217</v>
      </c>
      <c r="K1073" s="3" t="s">
        <v>219</v>
      </c>
      <c r="L1073" s="12">
        <v>546071</v>
      </c>
      <c r="M1073" s="11">
        <v>3329350</v>
      </c>
    </row>
    <row r="1074" spans="1:13">
      <c r="A1074" s="15">
        <v>46235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7">
        <f>IFERROR(VLOOKUP(F1074,Hoja2!$K$2:$M$1198,2,FALSE),0)</f>
        <v>0</v>
      </c>
      <c r="H1074" s="17">
        <f>IFERROR(VLOOKUP(F1074,Hoja2!$K$2:$M$1198,3,FALSE),0)</f>
        <v>0</v>
      </c>
      <c r="I1074" s="3" t="s">
        <v>7</v>
      </c>
      <c r="J1074" s="3" t="s">
        <v>217</v>
      </c>
      <c r="K1074" s="3" t="s">
        <v>219</v>
      </c>
      <c r="L1074" s="12">
        <v>546071</v>
      </c>
      <c r="M1074" s="11">
        <v>3858000</v>
      </c>
    </row>
    <row r="1075" spans="1:13">
      <c r="A1075" s="15">
        <v>46235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7">
        <f>IFERROR(VLOOKUP(F1075,Hoja2!$K$2:$M$1198,2,FALSE),0)</f>
        <v>0</v>
      </c>
      <c r="H1075" s="17">
        <f>IFERROR(VLOOKUP(F1075,Hoja2!$K$2:$M$1198,3,FALSE),0)</f>
        <v>0</v>
      </c>
      <c r="I1075" s="3" t="s">
        <v>7</v>
      </c>
      <c r="J1075" s="3" t="s">
        <v>217</v>
      </c>
      <c r="K1075" s="3" t="s">
        <v>219</v>
      </c>
      <c r="L1075" s="12">
        <v>572398</v>
      </c>
      <c r="M1075" s="11">
        <v>5174282</v>
      </c>
    </row>
    <row r="1076" spans="1:13">
      <c r="A1076" s="15">
        <v>46235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7">
        <f>IFERROR(VLOOKUP(F1076,Hoja2!$K$2:$M$1198,2,FALSE),0)</f>
        <v>0</v>
      </c>
      <c r="H1076" s="17">
        <f>IFERROR(VLOOKUP(F1076,Hoja2!$K$2:$M$1198,3,FALSE),0)</f>
        <v>0</v>
      </c>
      <c r="I1076" s="3" t="s">
        <v>7</v>
      </c>
      <c r="J1076" s="3" t="s">
        <v>217</v>
      </c>
      <c r="K1076" s="3" t="s">
        <v>219</v>
      </c>
      <c r="L1076" s="12">
        <v>448778</v>
      </c>
      <c r="M1076" s="11">
        <v>605858</v>
      </c>
    </row>
    <row r="1077" spans="1:13">
      <c r="A1077" s="15">
        <v>46235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7">
        <f>IFERROR(VLOOKUP(F1077,Hoja2!$K$2:$M$1198,2,FALSE),0)</f>
        <v>0</v>
      </c>
      <c r="H1077" s="17">
        <f>IFERROR(VLOOKUP(F1077,Hoja2!$K$2:$M$1198,3,FALSE),0)</f>
        <v>0</v>
      </c>
      <c r="I1077" s="3" t="s">
        <v>7</v>
      </c>
      <c r="J1077" s="3" t="s">
        <v>217</v>
      </c>
      <c r="K1077" s="3" t="s">
        <v>219</v>
      </c>
      <c r="L1077" s="12">
        <v>495617</v>
      </c>
      <c r="M1077" s="11">
        <v>4280492</v>
      </c>
    </row>
    <row r="1078" spans="1:13">
      <c r="A1078" s="15">
        <v>46235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7">
        <f>IFERROR(VLOOKUP(F1078,Hoja2!$K$2:$M$1198,2,FALSE),0)</f>
        <v>41001000</v>
      </c>
      <c r="H1078" s="17">
        <f>IFERROR(VLOOKUP(F1078,Hoja2!$K$2:$M$1198,3,FALSE),0)</f>
        <v>66001000</v>
      </c>
      <c r="I1078" s="3" t="s">
        <v>7</v>
      </c>
      <c r="J1078" s="3" t="s">
        <v>217</v>
      </c>
      <c r="K1078" s="3" t="s">
        <v>219</v>
      </c>
      <c r="L1078" s="12">
        <v>717000</v>
      </c>
      <c r="M1078" s="11">
        <v>1715308</v>
      </c>
    </row>
    <row r="1079" spans="1:13">
      <c r="A1079" s="15">
        <v>46235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7">
        <f>IFERROR(VLOOKUP(F1079,Hoja2!$K$2:$M$1198,2,FALSE),0)</f>
        <v>54001000</v>
      </c>
      <c r="H1079" s="17">
        <f>IFERROR(VLOOKUP(F1079,Hoja2!$K$2:$M$1198,3,FALSE),0)</f>
        <v>15238000</v>
      </c>
      <c r="I1079" s="3" t="s">
        <v>7</v>
      </c>
      <c r="J1079" s="3" t="s">
        <v>217</v>
      </c>
      <c r="K1079" s="3" t="s">
        <v>219</v>
      </c>
      <c r="L1079" s="12">
        <v>497632</v>
      </c>
      <c r="M1079" s="11">
        <v>2535315</v>
      </c>
    </row>
    <row r="1080" spans="1:13">
      <c r="A1080" s="15">
        <v>46235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7">
        <f>IFERROR(VLOOKUP(F1080,Hoja2!$K$2:$M$1198,2,FALSE),0)</f>
        <v>11001000</v>
      </c>
      <c r="H1080" s="17">
        <f>IFERROR(VLOOKUP(F1080,Hoja2!$K$2:$M$1198,3,FALSE),0)</f>
        <v>25386000</v>
      </c>
      <c r="I1080" s="3" t="s">
        <v>7</v>
      </c>
      <c r="J1080" s="3" t="s">
        <v>217</v>
      </c>
      <c r="K1080" s="3" t="s">
        <v>219</v>
      </c>
      <c r="L1080" s="12">
        <v>1041230</v>
      </c>
      <c r="M1080" s="11">
        <v>773514</v>
      </c>
    </row>
    <row r="1081" spans="1:13">
      <c r="A1081" s="15">
        <v>46235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7">
        <f>IFERROR(VLOOKUP(F1081,Hoja2!$K$2:$M$1198,2,FALSE),0)</f>
        <v>25386000</v>
      </c>
      <c r="H1081" s="17">
        <f>IFERROR(VLOOKUP(F1081,Hoja2!$K$2:$M$1198,3,FALSE),0)</f>
        <v>11001000</v>
      </c>
      <c r="I1081" s="3" t="s">
        <v>7</v>
      </c>
      <c r="J1081" s="3" t="s">
        <v>217</v>
      </c>
      <c r="K1081" s="3" t="s">
        <v>219</v>
      </c>
      <c r="L1081" s="12">
        <v>1041250</v>
      </c>
      <c r="M1081" s="11">
        <v>626435</v>
      </c>
    </row>
    <row r="1082" spans="1:13">
      <c r="A1082" s="15">
        <v>46235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7">
        <f>IFERROR(VLOOKUP(F1082,Hoja2!$K$2:$M$1198,2,FALSE),0)</f>
        <v>5615000</v>
      </c>
      <c r="H1082" s="17">
        <f>IFERROR(VLOOKUP(F1082,Hoja2!$K$2:$M$1198,3,FALSE),0)</f>
        <v>11001000</v>
      </c>
      <c r="I1082" s="3" t="s">
        <v>7</v>
      </c>
      <c r="J1082" s="3" t="s">
        <v>217</v>
      </c>
      <c r="K1082" s="3" t="s">
        <v>219</v>
      </c>
      <c r="L1082" s="12">
        <v>487505</v>
      </c>
      <c r="M1082" s="11">
        <v>1890654</v>
      </c>
    </row>
    <row r="1083" spans="1:13">
      <c r="A1083" s="15">
        <v>46235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7">
        <f>IFERROR(VLOOKUP(F1083,Hoja2!$K$2:$M$1198,2,FALSE),0)</f>
        <v>5001000</v>
      </c>
      <c r="H1083" s="17">
        <f>IFERROR(VLOOKUP(F1083,Hoja2!$K$2:$M$1198,3,FALSE),0)</f>
        <v>44430000</v>
      </c>
      <c r="I1083" s="3" t="s">
        <v>7</v>
      </c>
      <c r="J1083" s="3" t="s">
        <v>217</v>
      </c>
      <c r="K1083" s="3" t="s">
        <v>219</v>
      </c>
      <c r="L1083" s="12">
        <v>663630</v>
      </c>
      <c r="M1083" s="11">
        <v>4246290</v>
      </c>
    </row>
    <row r="1084" spans="1:13">
      <c r="A1084" s="15">
        <v>46235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7">
        <f>IFERROR(VLOOKUP(F1084,Hoja2!$K$2:$M$1198,2,FALSE),0)</f>
        <v>13001000</v>
      </c>
      <c r="H1084" s="17">
        <f>IFERROR(VLOOKUP(F1084,Hoja2!$K$2:$M$1198,3,FALSE),0)</f>
        <v>47001000</v>
      </c>
      <c r="I1084" s="3" t="s">
        <v>7</v>
      </c>
      <c r="J1084" s="3" t="s">
        <v>217</v>
      </c>
      <c r="K1084" s="3" t="s">
        <v>219</v>
      </c>
      <c r="L1084" s="12">
        <v>574770</v>
      </c>
      <c r="M1084" s="11">
        <v>1556749</v>
      </c>
    </row>
    <row r="1085" spans="1:13">
      <c r="A1085" s="15">
        <v>46235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7">
        <f>IFERROR(VLOOKUP(F1085,Hoja2!$K$2:$M$1198,2,FALSE),0)</f>
        <v>13001000</v>
      </c>
      <c r="H1085" s="17">
        <f>IFERROR(VLOOKUP(F1085,Hoja2!$K$2:$M$1198,3,FALSE),0)</f>
        <v>19001000</v>
      </c>
      <c r="I1085" s="3" t="s">
        <v>7</v>
      </c>
      <c r="J1085" s="3" t="s">
        <v>217</v>
      </c>
      <c r="K1085" s="3" t="s">
        <v>219</v>
      </c>
      <c r="L1085" s="12">
        <v>673689</v>
      </c>
      <c r="M1085" s="11">
        <v>5316416</v>
      </c>
    </row>
    <row r="1086" spans="1:13">
      <c r="A1086" s="15">
        <v>46235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7">
        <f>IFERROR(VLOOKUP(F1086,Hoja2!$K$2:$M$1198,2,FALSE),0)</f>
        <v>13001000</v>
      </c>
      <c r="H1086" s="17">
        <f>IFERROR(VLOOKUP(F1086,Hoja2!$K$2:$M$1198,3,FALSE),0)</f>
        <v>76109000</v>
      </c>
      <c r="I1086" s="3" t="s">
        <v>7</v>
      </c>
      <c r="J1086" s="3" t="s">
        <v>217</v>
      </c>
      <c r="K1086" s="3" t="s">
        <v>219</v>
      </c>
      <c r="L1086" s="12">
        <v>826190</v>
      </c>
      <c r="M1086" s="11">
        <v>5247674</v>
      </c>
    </row>
    <row r="1087" spans="1:13">
      <c r="A1087" s="15">
        <v>46235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7">
        <f>IFERROR(VLOOKUP(F1087,Hoja2!$K$2:$M$1198,2,FALSE),0)</f>
        <v>13001000</v>
      </c>
      <c r="H1087" s="17">
        <f>IFERROR(VLOOKUP(F1087,Hoja2!$K$2:$M$1198,3,FALSE),0)</f>
        <v>66170000</v>
      </c>
      <c r="I1087" s="3" t="s">
        <v>7</v>
      </c>
      <c r="J1087" s="3" t="s">
        <v>217</v>
      </c>
      <c r="K1087" s="3" t="s">
        <v>219</v>
      </c>
      <c r="L1087" s="12">
        <v>675350</v>
      </c>
      <c r="M1087" s="11">
        <v>3976984</v>
      </c>
    </row>
    <row r="1088" spans="1:13">
      <c r="A1088" s="15">
        <v>46235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7">
        <f>IFERROR(VLOOKUP(F1088,Hoja2!$K$2:$M$1198,2,FALSE),0)</f>
        <v>47001000</v>
      </c>
      <c r="H1088" s="17">
        <f>IFERROR(VLOOKUP(F1088,Hoja2!$K$2:$M$1198,3,FALSE),0)</f>
        <v>11001000</v>
      </c>
      <c r="I1088" s="3" t="s">
        <v>7</v>
      </c>
      <c r="J1088" s="3" t="s">
        <v>217</v>
      </c>
      <c r="K1088" s="3" t="s">
        <v>219</v>
      </c>
      <c r="L1088" s="12">
        <v>1041250</v>
      </c>
      <c r="M1088" s="11">
        <v>3971997</v>
      </c>
    </row>
    <row r="1089" spans="1:13">
      <c r="A1089" s="15">
        <v>46235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7">
        <f>IFERROR(VLOOKUP(F1089,Hoja2!$K$2:$M$1198,2,FALSE),0)</f>
        <v>66170000</v>
      </c>
      <c r="H1089" s="17">
        <f>IFERROR(VLOOKUP(F1089,Hoja2!$K$2:$M$1198,3,FALSE),0)</f>
        <v>25430000</v>
      </c>
      <c r="I1089" s="3" t="s">
        <v>7</v>
      </c>
      <c r="J1089" s="3" t="s">
        <v>217</v>
      </c>
      <c r="K1089" s="3" t="s">
        <v>219</v>
      </c>
      <c r="L1089" s="12">
        <v>619420</v>
      </c>
      <c r="M1089" s="11">
        <v>1748261</v>
      </c>
    </row>
    <row r="1090" spans="1:13">
      <c r="A1090" s="15">
        <v>46235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7">
        <f>IFERROR(VLOOKUP(F1090,Hoja2!$K$2:$M$1198,2,FALSE),0)</f>
        <v>66170000</v>
      </c>
      <c r="H1090" s="17">
        <f>IFERROR(VLOOKUP(F1090,Hoja2!$K$2:$M$1198,3,FALSE),0)</f>
        <v>5615000</v>
      </c>
      <c r="I1090" s="3" t="s">
        <v>7</v>
      </c>
      <c r="J1090" s="3" t="s">
        <v>217</v>
      </c>
      <c r="K1090" s="3" t="s">
        <v>219</v>
      </c>
      <c r="L1090" s="12">
        <v>588105</v>
      </c>
      <c r="M1090" s="11">
        <v>1569217</v>
      </c>
    </row>
    <row r="1091" spans="1:13">
      <c r="A1091" s="15">
        <v>46235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7">
        <f>IFERROR(VLOOKUP(F1091,Hoja2!$K$2:$M$1198,2,FALSE),0)</f>
        <v>66001000</v>
      </c>
      <c r="H1091" s="17">
        <f>IFERROR(VLOOKUP(F1091,Hoja2!$K$2:$M$1198,3,FALSE),0)</f>
        <v>47001000</v>
      </c>
      <c r="I1091" s="3" t="s">
        <v>7</v>
      </c>
      <c r="J1091" s="3" t="s">
        <v>217</v>
      </c>
      <c r="K1091" s="3" t="s">
        <v>219</v>
      </c>
      <c r="L1091" s="12">
        <v>619420</v>
      </c>
      <c r="M1091" s="11">
        <v>4460738</v>
      </c>
    </row>
    <row r="1092" spans="1:13">
      <c r="A1092" s="15">
        <v>46235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7">
        <f>IFERROR(VLOOKUP(F1092,Hoja2!$K$2:$M$1198,2,FALSE),0)</f>
        <v>66170000</v>
      </c>
      <c r="H1092" s="17">
        <f>IFERROR(VLOOKUP(F1092,Hoja2!$K$2:$M$1198,3,FALSE),0)</f>
        <v>76001000</v>
      </c>
      <c r="I1092" s="3" t="s">
        <v>7</v>
      </c>
      <c r="J1092" s="3" t="s">
        <v>217</v>
      </c>
      <c r="K1092" s="3" t="s">
        <v>219</v>
      </c>
      <c r="L1092" s="12">
        <v>718339</v>
      </c>
      <c r="M1092" s="11">
        <v>1771197</v>
      </c>
    </row>
    <row r="1093" spans="1:13">
      <c r="A1093" s="15">
        <v>46235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7">
        <f>IFERROR(VLOOKUP(F1093,Hoja2!$K$2:$M$1198,2,FALSE),0)</f>
        <v>66170000</v>
      </c>
      <c r="H1093" s="17">
        <f>IFERROR(VLOOKUP(F1093,Hoja2!$K$2:$M$1198,3,FALSE),0)</f>
        <v>76111000</v>
      </c>
      <c r="I1093" s="3" t="s">
        <v>7</v>
      </c>
      <c r="J1093" s="3" t="s">
        <v>217</v>
      </c>
      <c r="K1093" s="3" t="s">
        <v>219</v>
      </c>
      <c r="L1093" s="12">
        <v>794719</v>
      </c>
      <c r="M1093" s="11">
        <v>991575</v>
      </c>
    </row>
    <row r="1094" spans="1:13">
      <c r="A1094" s="15">
        <v>46235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7">
        <f>IFERROR(VLOOKUP(F1094,Hoja2!$K$2:$M$1198,2,FALSE),0)</f>
        <v>63001000</v>
      </c>
      <c r="H1094" s="17">
        <f>IFERROR(VLOOKUP(F1094,Hoja2!$K$2:$M$1198,3,FALSE),0)</f>
        <v>11001000</v>
      </c>
      <c r="I1094" s="3" t="s">
        <v>7</v>
      </c>
      <c r="J1094" s="3" t="s">
        <v>217</v>
      </c>
      <c r="K1094" s="3" t="s">
        <v>219</v>
      </c>
      <c r="L1094" s="12">
        <v>619400</v>
      </c>
      <c r="M1094" s="11">
        <v>1599385</v>
      </c>
    </row>
    <row r="1095" spans="1:13">
      <c r="A1095" s="15">
        <v>46235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7">
        <f>IFERROR(VLOOKUP(F1095,Hoja2!$K$2:$M$1198,2,FALSE),0)</f>
        <v>8433000</v>
      </c>
      <c r="H1095" s="17">
        <f>IFERROR(VLOOKUP(F1095,Hoja2!$K$2:$M$1198,3,FALSE),0)</f>
        <v>11001000</v>
      </c>
      <c r="I1095" s="3" t="s">
        <v>7</v>
      </c>
      <c r="J1095" s="3" t="s">
        <v>217</v>
      </c>
      <c r="K1095" s="3" t="s">
        <v>219</v>
      </c>
      <c r="L1095" s="12">
        <v>1041250</v>
      </c>
      <c r="M1095" s="11">
        <v>4402416</v>
      </c>
    </row>
    <row r="1096" spans="1:13">
      <c r="A1096" s="15">
        <v>46235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7">
        <f>IFERROR(VLOOKUP(F1096,Hoja2!$K$2:$M$1198,2,FALSE),0)</f>
        <v>76364000</v>
      </c>
      <c r="H1096" s="17">
        <f>IFERROR(VLOOKUP(F1096,Hoja2!$K$2:$M$1198,3,FALSE),0)</f>
        <v>8001000</v>
      </c>
      <c r="I1096" s="3" t="s">
        <v>7</v>
      </c>
      <c r="J1096" s="3" t="s">
        <v>217</v>
      </c>
      <c r="K1096" s="3" t="s">
        <v>219</v>
      </c>
      <c r="L1096" s="12">
        <v>572418</v>
      </c>
      <c r="M1096" s="11">
        <v>5115852</v>
      </c>
    </row>
    <row r="1097" spans="1:13">
      <c r="A1097" s="15">
        <v>46235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7">
        <f>IFERROR(VLOOKUP(F1097,Hoja2!$K$2:$M$1198,2,FALSE),0)</f>
        <v>25899000</v>
      </c>
      <c r="H1097" s="17">
        <f>IFERROR(VLOOKUP(F1097,Hoja2!$K$2:$M$1198,3,FALSE),0)</f>
        <v>11001000</v>
      </c>
      <c r="I1097" s="3" t="s">
        <v>7</v>
      </c>
      <c r="J1097" s="3" t="s">
        <v>217</v>
      </c>
      <c r="K1097" s="3" t="s">
        <v>219</v>
      </c>
      <c r="L1097" s="12">
        <v>453714</v>
      </c>
      <c r="M1097" s="11">
        <v>768609</v>
      </c>
    </row>
    <row r="1098" spans="1:13">
      <c r="A1098" s="15">
        <v>46235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7">
        <f>IFERROR(VLOOKUP(F1098,Hoja2!$K$2:$M$1198,2,FALSE),0)</f>
        <v>25899000</v>
      </c>
      <c r="H1098" s="17">
        <f>IFERROR(VLOOKUP(F1098,Hoja2!$K$2:$M$1198,3,FALSE),0)</f>
        <v>76892000</v>
      </c>
      <c r="I1098" s="3" t="s">
        <v>7</v>
      </c>
      <c r="J1098" s="3" t="s">
        <v>217</v>
      </c>
      <c r="K1098" s="3" t="s">
        <v>219</v>
      </c>
      <c r="L1098" s="12">
        <v>493969</v>
      </c>
      <c r="M1098" s="11">
        <v>2150220</v>
      </c>
    </row>
    <row r="1099" spans="1:13">
      <c r="A1099" s="15">
        <v>46235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7">
        <f>IFERROR(VLOOKUP(F1099,Hoja2!$K$2:$M$1198,2,FALSE),0)</f>
        <v>11001000</v>
      </c>
      <c r="H1099" s="17">
        <f>IFERROR(VLOOKUP(F1099,Hoja2!$K$2:$M$1198,3,FALSE),0)</f>
        <v>25899000</v>
      </c>
      <c r="I1099" s="3" t="s">
        <v>7</v>
      </c>
      <c r="J1099" s="3" t="s">
        <v>217</v>
      </c>
      <c r="K1099" s="3" t="s">
        <v>219</v>
      </c>
      <c r="L1099" s="12">
        <v>493949</v>
      </c>
      <c r="M1099" s="11">
        <v>755370</v>
      </c>
    </row>
    <row r="1100" spans="1:13">
      <c r="A1100" s="15">
        <v>46235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7">
        <f>IFERROR(VLOOKUP(F1100,Hoja2!$K$2:$M$1198,2,FALSE),0)</f>
        <v>8433000</v>
      </c>
      <c r="H1100" s="17">
        <f>IFERROR(VLOOKUP(F1100,Hoja2!$K$2:$M$1198,3,FALSE),0)</f>
        <v>11001000</v>
      </c>
      <c r="I1100" s="3" t="s">
        <v>7</v>
      </c>
      <c r="J1100" s="3" t="s">
        <v>217</v>
      </c>
      <c r="K1100" s="3" t="s">
        <v>219</v>
      </c>
      <c r="L1100" s="12">
        <v>449280</v>
      </c>
      <c r="M1100" s="11">
        <v>4278707</v>
      </c>
    </row>
    <row r="1101" spans="1:13">
      <c r="A1101" s="15">
        <v>46235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7">
        <f>IFERROR(VLOOKUP(F1101,Hoja2!$K$2:$M$1198,2,FALSE),0)</f>
        <v>5360000</v>
      </c>
      <c r="H1101" s="17">
        <f>IFERROR(VLOOKUP(F1101,Hoja2!$K$2:$M$1198,3,FALSE),0)</f>
        <v>76109000</v>
      </c>
      <c r="I1101" s="3" t="s">
        <v>7</v>
      </c>
      <c r="J1101" s="3" t="s">
        <v>217</v>
      </c>
      <c r="K1101" s="3" t="s">
        <v>219</v>
      </c>
      <c r="L1101" s="12">
        <v>770260</v>
      </c>
      <c r="M1101" s="11">
        <v>2028035</v>
      </c>
    </row>
    <row r="1102" spans="1:13">
      <c r="A1102" s="15">
        <v>46235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7">
        <f>IFERROR(VLOOKUP(F1102,Hoja2!$K$2:$M$1198,2,FALSE),0)</f>
        <v>13001000</v>
      </c>
      <c r="H1102" s="17">
        <f>IFERROR(VLOOKUP(F1102,Hoja2!$K$2:$M$1198,3,FALSE),0)</f>
        <v>25899000</v>
      </c>
      <c r="I1102" s="3" t="s">
        <v>7</v>
      </c>
      <c r="J1102" s="3" t="s">
        <v>217</v>
      </c>
      <c r="K1102" s="3" t="s">
        <v>219</v>
      </c>
      <c r="L1102" s="12">
        <v>549899</v>
      </c>
      <c r="M1102" s="11">
        <v>4702985</v>
      </c>
    </row>
    <row r="1103" spans="1:13">
      <c r="A1103" s="15">
        <v>46235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7">
        <f>IFERROR(VLOOKUP(F1103,Hoja2!$K$2:$M$1198,2,FALSE),0)</f>
        <v>13001000</v>
      </c>
      <c r="H1103" s="17">
        <f>IFERROR(VLOOKUP(F1103,Hoja2!$K$2:$M$1198,3,FALSE),0)</f>
        <v>44001000</v>
      </c>
      <c r="I1103" s="3" t="s">
        <v>7</v>
      </c>
      <c r="J1103" s="3" t="s">
        <v>217</v>
      </c>
      <c r="K1103" s="3" t="s">
        <v>219</v>
      </c>
      <c r="L1103" s="12">
        <v>713966</v>
      </c>
      <c r="M1103" s="11">
        <v>1841725</v>
      </c>
    </row>
    <row r="1104" spans="1:13">
      <c r="A1104" s="15">
        <v>46235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7">
        <f>IFERROR(VLOOKUP(F1104,Hoja2!$K$2:$M$1198,2,FALSE),0)</f>
        <v>19142000</v>
      </c>
      <c r="H1104" s="17">
        <f>IFERROR(VLOOKUP(F1104,Hoja2!$K$2:$M$1198,3,FALSE),0)</f>
        <v>5001000</v>
      </c>
      <c r="I1104" s="3" t="s">
        <v>7</v>
      </c>
      <c r="J1104" s="3" t="s">
        <v>217</v>
      </c>
      <c r="K1104" s="3" t="s">
        <v>219</v>
      </c>
      <c r="L1104" s="12">
        <v>518840</v>
      </c>
      <c r="M1104" s="11">
        <v>2097855</v>
      </c>
    </row>
    <row r="1105" spans="1:13">
      <c r="A1105" s="15">
        <v>46235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7">
        <f>IFERROR(VLOOKUP(F1105,Hoja2!$K$2:$M$1198,2,FALSE),0)</f>
        <v>19142000</v>
      </c>
      <c r="H1105" s="17">
        <f>IFERROR(VLOOKUP(F1105,Hoja2!$K$2:$M$1198,3,FALSE),0)</f>
        <v>66001000</v>
      </c>
      <c r="I1105" s="3" t="s">
        <v>7</v>
      </c>
      <c r="J1105" s="3" t="s">
        <v>217</v>
      </c>
      <c r="K1105" s="3" t="s">
        <v>219</v>
      </c>
      <c r="L1105" s="12">
        <v>619420</v>
      </c>
      <c r="M1105" s="11">
        <v>1173606</v>
      </c>
    </row>
    <row r="1106" spans="1:13">
      <c r="A1106" s="15">
        <v>46235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7">
        <f>IFERROR(VLOOKUP(F1106,Hoja2!$K$2:$M$1198,2,FALSE),0)</f>
        <v>44001000</v>
      </c>
      <c r="H1106" s="17">
        <f>IFERROR(VLOOKUP(F1106,Hoja2!$K$2:$M$1198,3,FALSE),0)</f>
        <v>76001000</v>
      </c>
      <c r="I1106" s="3" t="s">
        <v>7</v>
      </c>
      <c r="J1106" s="3" t="s">
        <v>217</v>
      </c>
      <c r="K1106" s="3" t="s">
        <v>219</v>
      </c>
      <c r="L1106" s="12">
        <v>658036</v>
      </c>
      <c r="M1106" s="11">
        <v>5836158</v>
      </c>
    </row>
    <row r="1107" spans="1:13">
      <c r="A1107" s="15">
        <v>46235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7">
        <f>IFERROR(VLOOKUP(F1107,Hoja2!$K$2:$M$1198,2,FALSE),0)</f>
        <v>25899000</v>
      </c>
      <c r="H1107" s="17">
        <f>IFERROR(VLOOKUP(F1107,Hoja2!$K$2:$M$1198,3,FALSE),0)</f>
        <v>25799000</v>
      </c>
      <c r="I1107" s="3" t="s">
        <v>7</v>
      </c>
      <c r="J1107" s="3" t="s">
        <v>217</v>
      </c>
      <c r="K1107" s="3" t="s">
        <v>219</v>
      </c>
      <c r="L1107" s="12">
        <v>493969</v>
      </c>
      <c r="M1107" s="11">
        <v>600265</v>
      </c>
    </row>
    <row r="1108" spans="1:13">
      <c r="A1108" s="15">
        <v>46235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7">
        <f>IFERROR(VLOOKUP(F1108,Hoja2!$K$2:$M$1198,2,FALSE),0)</f>
        <v>13001000</v>
      </c>
      <c r="H1108" s="17">
        <f>IFERROR(VLOOKUP(F1108,Hoja2!$K$2:$M$1198,3,FALSE),0)</f>
        <v>5154000</v>
      </c>
      <c r="I1108" s="3" t="s">
        <v>7</v>
      </c>
      <c r="J1108" s="3" t="s">
        <v>217</v>
      </c>
      <c r="K1108" s="3" t="s">
        <v>219</v>
      </c>
      <c r="L1108" s="12">
        <v>837641</v>
      </c>
      <c r="M1108" s="11">
        <v>1844218</v>
      </c>
    </row>
    <row r="1109" spans="1:13">
      <c r="A1109" s="15">
        <v>46235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7">
        <f>IFERROR(VLOOKUP(F1109,Hoja2!$K$2:$M$1198,2,FALSE),0)</f>
        <v>13001000</v>
      </c>
      <c r="H1109" s="17">
        <f>IFERROR(VLOOKUP(F1109,Hoja2!$K$2:$M$1198,3,FALSE),0)</f>
        <v>23001000</v>
      </c>
      <c r="I1109" s="3" t="s">
        <v>7</v>
      </c>
      <c r="J1109" s="3" t="s">
        <v>217</v>
      </c>
      <c r="K1109" s="3" t="s">
        <v>219</v>
      </c>
      <c r="L1109" s="12">
        <v>590240</v>
      </c>
      <c r="M1109" s="11">
        <v>1674260</v>
      </c>
    </row>
    <row r="1110" spans="1:13">
      <c r="A1110" s="15">
        <v>46235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7">
        <f>IFERROR(VLOOKUP(F1110,Hoja2!$K$2:$M$1198,2,FALSE),0)</f>
        <v>13001000</v>
      </c>
      <c r="H1110" s="17">
        <f>IFERROR(VLOOKUP(F1110,Hoja2!$K$2:$M$1198,3,FALSE),0)</f>
        <v>68081000</v>
      </c>
      <c r="I1110" s="3" t="s">
        <v>7</v>
      </c>
      <c r="J1110" s="3" t="s">
        <v>217</v>
      </c>
      <c r="K1110" s="3" t="s">
        <v>219</v>
      </c>
      <c r="L1110" s="12">
        <v>712031</v>
      </c>
      <c r="M1110" s="11">
        <v>2872157</v>
      </c>
    </row>
    <row r="1111" spans="1:13">
      <c r="A1111" s="15">
        <v>46235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7">
        <f>IFERROR(VLOOKUP(F1111,Hoja2!$K$2:$M$1198,2,FALSE),0)</f>
        <v>13001000</v>
      </c>
      <c r="H1111" s="17">
        <f>IFERROR(VLOOKUP(F1111,Hoja2!$K$2:$M$1198,3,FALSE),0)</f>
        <v>54001000</v>
      </c>
      <c r="I1111" s="3" t="s">
        <v>7</v>
      </c>
      <c r="J1111" s="3" t="s">
        <v>217</v>
      </c>
      <c r="K1111" s="3" t="s">
        <v>219</v>
      </c>
      <c r="L1111" s="12">
        <v>574770</v>
      </c>
      <c r="M1111" s="11">
        <v>2752958</v>
      </c>
    </row>
    <row r="1112" spans="1:13">
      <c r="A1112" s="15">
        <v>46235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7">
        <f>IFERROR(VLOOKUP(F1112,Hoja2!$K$2:$M$1198,2,FALSE),0)</f>
        <v>13001000</v>
      </c>
      <c r="H1112" s="17">
        <f>IFERROR(VLOOKUP(F1112,Hoja2!$K$2:$M$1198,3,FALSE),0)</f>
        <v>20001000</v>
      </c>
      <c r="I1112" s="3" t="s">
        <v>7</v>
      </c>
      <c r="J1112" s="3" t="s">
        <v>217</v>
      </c>
      <c r="K1112" s="3" t="s">
        <v>219</v>
      </c>
      <c r="L1112" s="12">
        <v>602806</v>
      </c>
      <c r="M1112" s="11">
        <v>1870940</v>
      </c>
    </row>
    <row r="1113" spans="1:13">
      <c r="A1113" s="15">
        <v>46235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7">
        <f>IFERROR(VLOOKUP(F1113,Hoja2!$K$2:$M$1198,2,FALSE),0)</f>
        <v>13001000</v>
      </c>
      <c r="H1113" s="17">
        <f>IFERROR(VLOOKUP(F1113,Hoja2!$K$2:$M$1198,3,FALSE),0)</f>
        <v>17380000</v>
      </c>
      <c r="I1113" s="3" t="s">
        <v>7</v>
      </c>
      <c r="J1113" s="3" t="s">
        <v>217</v>
      </c>
      <c r="K1113" s="3" t="s">
        <v>219</v>
      </c>
      <c r="L1113" s="12">
        <v>1097180</v>
      </c>
      <c r="M1113" s="11">
        <v>3949555</v>
      </c>
    </row>
    <row r="1114" spans="1:13">
      <c r="A1114" s="15">
        <v>46235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7">
        <f>IFERROR(VLOOKUP(F1114,Hoja2!$K$2:$M$1198,2,FALSE),0)</f>
        <v>13001000</v>
      </c>
      <c r="H1114" s="17">
        <f>IFERROR(VLOOKUP(F1114,Hoja2!$K$2:$M$1198,3,FALSE),0)</f>
        <v>20011000</v>
      </c>
      <c r="I1114" s="3" t="s">
        <v>7</v>
      </c>
      <c r="J1114" s="3" t="s">
        <v>217</v>
      </c>
      <c r="K1114" s="3" t="s">
        <v>219</v>
      </c>
      <c r="L1114" s="12">
        <v>1233251</v>
      </c>
      <c r="M1114" s="11">
        <v>2070426</v>
      </c>
    </row>
    <row r="1115" spans="1:13">
      <c r="A1115" s="15">
        <v>46235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7">
        <f>IFERROR(VLOOKUP(F1115,Hoja2!$K$2:$M$1198,2,FALSE),0)</f>
        <v>13001000</v>
      </c>
      <c r="H1115" s="17">
        <f>IFERROR(VLOOKUP(F1115,Hoja2!$K$2:$M$1198,3,FALSE),0)</f>
        <v>54001000</v>
      </c>
      <c r="I1115" s="3" t="s">
        <v>7</v>
      </c>
      <c r="J1115" s="3" t="s">
        <v>217</v>
      </c>
      <c r="K1115" s="3" t="s">
        <v>219</v>
      </c>
      <c r="L1115" s="12">
        <v>1110270</v>
      </c>
      <c r="M1115" s="11">
        <v>2790046</v>
      </c>
    </row>
    <row r="1116" spans="1:13">
      <c r="A1116" s="15">
        <v>46235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7">
        <f>IFERROR(VLOOKUP(F1116,Hoja2!$K$2:$M$1198,2,FALSE),0)</f>
        <v>13001000</v>
      </c>
      <c r="H1116" s="17">
        <f>IFERROR(VLOOKUP(F1116,Hoja2!$K$2:$M$1198,3,FALSE),0)</f>
        <v>50001000</v>
      </c>
      <c r="I1116" s="3" t="s">
        <v>7</v>
      </c>
      <c r="J1116" s="3" t="s">
        <v>217</v>
      </c>
      <c r="K1116" s="3" t="s">
        <v>219</v>
      </c>
      <c r="L1116" s="12">
        <v>602021</v>
      </c>
      <c r="M1116" s="11">
        <v>5397288</v>
      </c>
    </row>
    <row r="1117" spans="1:13">
      <c r="A1117" s="15">
        <v>46235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7">
        <f>IFERROR(VLOOKUP(F1117,Hoja2!$K$2:$M$1198,2,FALSE),0)</f>
        <v>47001000</v>
      </c>
      <c r="H1117" s="17">
        <f>IFERROR(VLOOKUP(F1117,Hoja2!$K$2:$M$1198,3,FALSE),0)</f>
        <v>23001000</v>
      </c>
      <c r="I1117" s="3" t="s">
        <v>7</v>
      </c>
      <c r="J1117" s="3" t="s">
        <v>217</v>
      </c>
      <c r="K1117" s="3" t="s">
        <v>219</v>
      </c>
      <c r="L1117" s="12">
        <v>534310</v>
      </c>
      <c r="M1117" s="11">
        <v>1966404</v>
      </c>
    </row>
    <row r="1118" spans="1:13">
      <c r="A1118" s="15">
        <v>46235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7">
        <f>IFERROR(VLOOKUP(F1118,Hoja2!$K$2:$M$1198,2,FALSE),0)</f>
        <v>66001000</v>
      </c>
      <c r="H1118" s="17">
        <f>IFERROR(VLOOKUP(F1118,Hoja2!$K$2:$M$1198,3,FALSE),0)</f>
        <v>23001000</v>
      </c>
      <c r="I1118" s="3" t="s">
        <v>7</v>
      </c>
      <c r="J1118" s="3" t="s">
        <v>217</v>
      </c>
      <c r="K1118" s="3" t="s">
        <v>219</v>
      </c>
      <c r="L1118" s="12">
        <v>634890</v>
      </c>
      <c r="M1118" s="11">
        <v>2757243</v>
      </c>
    </row>
    <row r="1119" spans="1:13">
      <c r="A1119" s="15">
        <v>46235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7">
        <f>IFERROR(VLOOKUP(F1119,Hoja2!$K$2:$M$1198,2,FALSE),0)</f>
        <v>66170000</v>
      </c>
      <c r="H1119" s="17">
        <f>IFERROR(VLOOKUP(F1119,Hoja2!$K$2:$M$1198,3,FALSE),0)</f>
        <v>11001000</v>
      </c>
      <c r="I1119" s="3" t="s">
        <v>7</v>
      </c>
      <c r="J1119" s="3" t="s">
        <v>217</v>
      </c>
      <c r="K1119" s="3" t="s">
        <v>219</v>
      </c>
      <c r="L1119" s="12">
        <v>594549</v>
      </c>
      <c r="M1119" s="11">
        <v>2482950</v>
      </c>
    </row>
    <row r="1120" spans="1:13">
      <c r="A1120" s="15">
        <v>46235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7">
        <f>IFERROR(VLOOKUP(F1120,Hoja2!$K$2:$M$1198,2,FALSE),0)</f>
        <v>66170000</v>
      </c>
      <c r="H1120" s="17">
        <f>IFERROR(VLOOKUP(F1120,Hoja2!$K$2:$M$1198,3,FALSE),0)</f>
        <v>68001000</v>
      </c>
      <c r="I1120" s="3" t="s">
        <v>7</v>
      </c>
      <c r="J1120" s="3" t="s">
        <v>217</v>
      </c>
      <c r="K1120" s="3" t="s">
        <v>219</v>
      </c>
      <c r="L1120" s="12">
        <v>756681</v>
      </c>
      <c r="M1120" s="11">
        <v>2697397</v>
      </c>
    </row>
    <row r="1121" spans="1:13">
      <c r="A1121" s="15">
        <v>46235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7">
        <f>IFERROR(VLOOKUP(F1121,Hoja2!$K$2:$M$1198,2,FALSE),0)</f>
        <v>66170000</v>
      </c>
      <c r="H1121" s="17">
        <f>IFERROR(VLOOKUP(F1121,Hoja2!$K$2:$M$1198,3,FALSE),0)</f>
        <v>54001000</v>
      </c>
      <c r="I1121" s="3" t="s">
        <v>7</v>
      </c>
      <c r="J1121" s="3" t="s">
        <v>217</v>
      </c>
      <c r="K1121" s="3" t="s">
        <v>219</v>
      </c>
      <c r="L1121" s="12">
        <v>619420</v>
      </c>
      <c r="M1121" s="11">
        <v>3852305</v>
      </c>
    </row>
    <row r="1122" spans="1:13">
      <c r="A1122" s="15">
        <v>46235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7">
        <f>IFERROR(VLOOKUP(F1122,Hoja2!$K$2:$M$1198,2,FALSE),0)</f>
        <v>66170000</v>
      </c>
      <c r="H1122" s="17">
        <f>IFERROR(VLOOKUP(F1122,Hoja2!$K$2:$M$1198,3,FALSE),0)</f>
        <v>20001000</v>
      </c>
      <c r="I1122" s="3" t="s">
        <v>7</v>
      </c>
      <c r="J1122" s="3" t="s">
        <v>217</v>
      </c>
      <c r="K1122" s="3" t="s">
        <v>219</v>
      </c>
      <c r="L1122" s="12">
        <v>647456</v>
      </c>
      <c r="M1122" s="11">
        <v>4228835</v>
      </c>
    </row>
    <row r="1123" spans="1:13">
      <c r="A1123" s="15">
        <v>46235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7">
        <f>IFERROR(VLOOKUP(F1123,Hoja2!$K$2:$M$1198,2,FALSE),0)</f>
        <v>66001000</v>
      </c>
      <c r="H1123" s="17">
        <f>IFERROR(VLOOKUP(F1123,Hoja2!$K$2:$M$1198,3,FALSE),0)</f>
        <v>68081000</v>
      </c>
      <c r="I1123" s="3" t="s">
        <v>7</v>
      </c>
      <c r="J1123" s="3" t="s">
        <v>217</v>
      </c>
      <c r="K1123" s="3" t="s">
        <v>219</v>
      </c>
      <c r="L1123" s="12">
        <v>756681</v>
      </c>
      <c r="M1123" s="11">
        <v>2692410</v>
      </c>
    </row>
    <row r="1124" spans="1:13">
      <c r="A1124" s="15">
        <v>46235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7">
        <f>IFERROR(VLOOKUP(F1124,Hoja2!$K$2:$M$1198,2,FALSE),0)</f>
        <v>5360000</v>
      </c>
      <c r="H1124" s="17">
        <f>IFERROR(VLOOKUP(F1124,Hoja2!$K$2:$M$1198,3,FALSE),0)</f>
        <v>68001000</v>
      </c>
      <c r="I1124" s="3" t="s">
        <v>7</v>
      </c>
      <c r="J1124" s="3" t="s">
        <v>217</v>
      </c>
      <c r="K1124" s="3" t="s">
        <v>219</v>
      </c>
      <c r="L1124" s="12">
        <v>518840</v>
      </c>
      <c r="M1124" s="11">
        <v>1944343</v>
      </c>
    </row>
    <row r="1125" spans="1:13">
      <c r="A1125" s="15">
        <v>46235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7">
        <f>IFERROR(VLOOKUP(F1125,Hoja2!$K$2:$M$1198,2,FALSE),0)</f>
        <v>23001000</v>
      </c>
      <c r="H1125" s="17">
        <f>IFERROR(VLOOKUP(F1125,Hoja2!$K$2:$M$1198,3,FALSE),0)</f>
        <v>5001000</v>
      </c>
      <c r="I1125" s="3" t="s">
        <v>7</v>
      </c>
      <c r="J1125" s="3" t="s">
        <v>217</v>
      </c>
      <c r="K1125" s="3" t="s">
        <v>219</v>
      </c>
      <c r="L1125" s="12">
        <v>625290</v>
      </c>
      <c r="M1125" s="11">
        <v>1548780</v>
      </c>
    </row>
    <row r="1126" spans="1:13">
      <c r="A1126" s="15">
        <v>46235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7">
        <f>IFERROR(VLOOKUP(F1126,Hoja2!$K$2:$M$1198,2,FALSE),0)</f>
        <v>70001000</v>
      </c>
      <c r="H1126" s="17">
        <f>IFERROR(VLOOKUP(F1126,Hoja2!$K$2:$M$1198,3,FALSE),0)</f>
        <v>13430000</v>
      </c>
      <c r="I1126" s="3" t="s">
        <v>7</v>
      </c>
      <c r="J1126" s="3" t="s">
        <v>217</v>
      </c>
      <c r="K1126" s="3" t="s">
        <v>219</v>
      </c>
      <c r="L1126" s="12">
        <v>957816</v>
      </c>
      <c r="M1126" s="11">
        <v>757011</v>
      </c>
    </row>
    <row r="1127" spans="1:13">
      <c r="A1127" s="15">
        <v>46235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7">
        <f>IFERROR(VLOOKUP(F1127,Hoja2!$K$2:$M$1198,2,FALSE),0)</f>
        <v>41001000</v>
      </c>
      <c r="H1127" s="17">
        <f>IFERROR(VLOOKUP(F1127,Hoja2!$K$2:$M$1198,3,FALSE),0)</f>
        <v>73001000</v>
      </c>
      <c r="I1127" s="3" t="s">
        <v>7</v>
      </c>
      <c r="J1127" s="3" t="s">
        <v>217</v>
      </c>
      <c r="K1127" s="3" t="s">
        <v>219</v>
      </c>
      <c r="L1127" s="12">
        <v>1138830</v>
      </c>
      <c r="M1127" s="11">
        <v>835530</v>
      </c>
    </row>
    <row r="1128" spans="1:13">
      <c r="A1128" s="15">
        <v>46235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7">
        <f>IFERROR(VLOOKUP(F1128,Hoja2!$K$2:$M$1198,2,FALSE),0)</f>
        <v>41001000</v>
      </c>
      <c r="H1128" s="17">
        <f>IFERROR(VLOOKUP(F1128,Hoja2!$K$2:$M$1198,3,FALSE),0)</f>
        <v>5001000</v>
      </c>
      <c r="I1128" s="3" t="s">
        <v>7</v>
      </c>
      <c r="J1128" s="3" t="s">
        <v>217</v>
      </c>
      <c r="K1128" s="3" t="s">
        <v>219</v>
      </c>
      <c r="L1128" s="12">
        <v>616420</v>
      </c>
      <c r="M1128" s="11">
        <v>2684930</v>
      </c>
    </row>
    <row r="1129" spans="1:13">
      <c r="A1129" s="15">
        <v>46235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7">
        <f>IFERROR(VLOOKUP(F1129,Hoja2!$K$2:$M$1198,2,FALSE),0)</f>
        <v>41001000</v>
      </c>
      <c r="H1129" s="17">
        <f>IFERROR(VLOOKUP(F1129,Hoja2!$K$2:$M$1198,3,FALSE),0)</f>
        <v>11001000</v>
      </c>
      <c r="I1129" s="3" t="s">
        <v>7</v>
      </c>
      <c r="J1129" s="3" t="s">
        <v>217</v>
      </c>
      <c r="K1129" s="3" t="s">
        <v>219</v>
      </c>
      <c r="L1129" s="12">
        <v>1138830</v>
      </c>
      <c r="M1129" s="11">
        <v>1865973</v>
      </c>
    </row>
    <row r="1130" spans="1:13">
      <c r="A1130" s="15">
        <v>46235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7">
        <f>IFERROR(VLOOKUP(F1130,Hoja2!$K$2:$M$1198,2,FALSE),0)</f>
        <v>41001000</v>
      </c>
      <c r="H1130" s="17">
        <f>IFERROR(VLOOKUP(F1130,Hoja2!$K$2:$M$1198,3,FALSE),0)</f>
        <v>15238000</v>
      </c>
      <c r="I1130" s="3" t="s">
        <v>7</v>
      </c>
      <c r="J1130" s="3" t="s">
        <v>217</v>
      </c>
      <c r="K1130" s="3" t="s">
        <v>219</v>
      </c>
      <c r="L1130" s="12">
        <v>591549</v>
      </c>
      <c r="M1130" s="11">
        <v>2520353</v>
      </c>
    </row>
    <row r="1131" spans="1:13">
      <c r="A1131" s="15">
        <v>46235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7">
        <f>IFERROR(VLOOKUP(F1131,Hoja2!$K$2:$M$1198,2,FALSE),0)</f>
        <v>73001000</v>
      </c>
      <c r="H1131" s="17">
        <f>IFERROR(VLOOKUP(F1131,Hoja2!$K$2:$M$1198,3,FALSE),0)</f>
        <v>25307000</v>
      </c>
      <c r="I1131" s="3" t="s">
        <v>7</v>
      </c>
      <c r="J1131" s="3" t="s">
        <v>217</v>
      </c>
      <c r="K1131" s="3" t="s">
        <v>219</v>
      </c>
      <c r="L1131" s="12">
        <v>520030</v>
      </c>
      <c r="M1131" s="11">
        <v>675258</v>
      </c>
    </row>
    <row r="1132" spans="1:13">
      <c r="A1132" s="15">
        <v>46235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7">
        <f>IFERROR(VLOOKUP(F1132,Hoja2!$K$2:$M$1198,2,FALSE),0)</f>
        <v>25612000</v>
      </c>
      <c r="H1132" s="17">
        <f>IFERROR(VLOOKUP(F1132,Hoja2!$K$2:$M$1198,3,FALSE),0)</f>
        <v>11001000</v>
      </c>
      <c r="I1132" s="3" t="s">
        <v>7</v>
      </c>
      <c r="J1132" s="3" t="s">
        <v>217</v>
      </c>
      <c r="K1132" s="3" t="s">
        <v>219</v>
      </c>
      <c r="L1132" s="12">
        <v>520030</v>
      </c>
      <c r="M1132" s="11">
        <v>958692</v>
      </c>
    </row>
    <row r="1133" spans="1:13">
      <c r="A1133" s="15">
        <v>46235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7">
        <f>IFERROR(VLOOKUP(F1133,Hoja2!$K$2:$M$1198,2,FALSE),0)</f>
        <v>11001000</v>
      </c>
      <c r="H1133" s="17">
        <f>IFERROR(VLOOKUP(F1133,Hoja2!$K$2:$M$1198,3,FALSE),0)</f>
        <v>76892000</v>
      </c>
      <c r="I1133" s="3" t="s">
        <v>7</v>
      </c>
      <c r="J1133" s="3" t="s">
        <v>217</v>
      </c>
      <c r="K1133" s="3" t="s">
        <v>219</v>
      </c>
      <c r="L1133" s="12">
        <v>1041250</v>
      </c>
      <c r="M1133" s="11">
        <v>1985644</v>
      </c>
    </row>
    <row r="1134" spans="1:13">
      <c r="A1134" s="15">
        <v>46235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7">
        <f>IFERROR(VLOOKUP(F1134,Hoja2!$K$2:$M$1198,2,FALSE),0)</f>
        <v>11001000</v>
      </c>
      <c r="H1134" s="17">
        <f>IFERROR(VLOOKUP(F1134,Hoja2!$K$2:$M$1198,3,FALSE),0)</f>
        <v>76364000</v>
      </c>
      <c r="I1134" s="3" t="s">
        <v>7</v>
      </c>
      <c r="J1134" s="3" t="s">
        <v>217</v>
      </c>
      <c r="K1134" s="3" t="s">
        <v>219</v>
      </c>
      <c r="L1134" s="12">
        <v>1094828</v>
      </c>
      <c r="M1134" s="11">
        <v>2068640</v>
      </c>
    </row>
    <row r="1135" spans="1:13">
      <c r="A1135" s="15">
        <v>46235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7">
        <f>IFERROR(VLOOKUP(F1135,Hoja2!$K$2:$M$1198,2,FALSE),0)</f>
        <v>17380000</v>
      </c>
      <c r="H1135" s="17">
        <f>IFERROR(VLOOKUP(F1135,Hoja2!$K$2:$M$1198,3,FALSE),0)</f>
        <v>11001000</v>
      </c>
      <c r="I1135" s="3" t="s">
        <v>7</v>
      </c>
      <c r="J1135" s="3" t="s">
        <v>217</v>
      </c>
      <c r="K1135" s="3" t="s">
        <v>219</v>
      </c>
      <c r="L1135" s="12">
        <v>1041250</v>
      </c>
      <c r="M1135" s="11">
        <v>1023991</v>
      </c>
    </row>
    <row r="1136" spans="1:13">
      <c r="A1136" s="15">
        <v>46235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7">
        <f>IFERROR(VLOOKUP(F1136,Hoja2!$K$2:$M$1198,2,FALSE),0)</f>
        <v>73443000</v>
      </c>
      <c r="H1136" s="17">
        <f>IFERROR(VLOOKUP(F1136,Hoja2!$K$2:$M$1198,3,FALSE),0)</f>
        <v>73001000</v>
      </c>
      <c r="I1136" s="3" t="s">
        <v>7</v>
      </c>
      <c r="J1136" s="3" t="s">
        <v>217</v>
      </c>
      <c r="K1136" s="3" t="s">
        <v>219</v>
      </c>
      <c r="L1136" s="12">
        <v>1151920</v>
      </c>
      <c r="M1136" s="11">
        <v>827707</v>
      </c>
    </row>
    <row r="1137" spans="1:13">
      <c r="A1137" s="15">
        <v>46235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7">
        <f>IFERROR(VLOOKUP(F1137,Hoja2!$K$2:$M$1198,2,FALSE),0)</f>
        <v>50001000</v>
      </c>
      <c r="H1137" s="17">
        <f>IFERROR(VLOOKUP(F1137,Hoja2!$K$2:$M$1198,3,FALSE),0)</f>
        <v>13001000</v>
      </c>
      <c r="I1137" s="3" t="s">
        <v>7</v>
      </c>
      <c r="J1137" s="3" t="s">
        <v>217</v>
      </c>
      <c r="K1137" s="3" t="s">
        <v>219</v>
      </c>
      <c r="L1137" s="12">
        <v>602021</v>
      </c>
      <c r="M1137" s="11">
        <v>5449654</v>
      </c>
    </row>
    <row r="1138" spans="1:13">
      <c r="A1138" s="15">
        <v>46235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7">
        <f>IFERROR(VLOOKUP(F1138,Hoja2!$K$2:$M$1198,2,FALSE),0)</f>
        <v>50001000</v>
      </c>
      <c r="H1138" s="17">
        <f>IFERROR(VLOOKUP(F1138,Hoja2!$K$2:$M$1198,3,FALSE),0)</f>
        <v>76001000</v>
      </c>
      <c r="I1138" s="3" t="s">
        <v>7</v>
      </c>
      <c r="J1138" s="3" t="s">
        <v>217</v>
      </c>
      <c r="K1138" s="3" t="s">
        <v>219</v>
      </c>
      <c r="L1138" s="12">
        <v>546091</v>
      </c>
      <c r="M1138" s="11">
        <v>2637552</v>
      </c>
    </row>
    <row r="1139" spans="1:13">
      <c r="A1139" s="15">
        <v>46235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7">
        <f>IFERROR(VLOOKUP(F1139,Hoja2!$K$2:$M$1198,2,FALSE),0)</f>
        <v>68081000</v>
      </c>
      <c r="H1139" s="17">
        <f>IFERROR(VLOOKUP(F1139,Hoja2!$K$2:$M$1198,3,FALSE),0)</f>
        <v>54001000</v>
      </c>
      <c r="I1139" s="3" t="s">
        <v>7</v>
      </c>
      <c r="J1139" s="3" t="s">
        <v>217</v>
      </c>
      <c r="K1139" s="3" t="s">
        <v>219</v>
      </c>
      <c r="L1139" s="12">
        <v>656101</v>
      </c>
      <c r="M1139" s="11">
        <v>1662187</v>
      </c>
    </row>
    <row r="1140" spans="1:13">
      <c r="A1140" s="15">
        <v>46235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7">
        <f>IFERROR(VLOOKUP(F1140,Hoja2!$K$2:$M$1198,2,FALSE),0)</f>
        <v>54001000</v>
      </c>
      <c r="H1140" s="17">
        <f>IFERROR(VLOOKUP(F1140,Hoja2!$K$2:$M$1198,3,FALSE),0)</f>
        <v>20001000</v>
      </c>
      <c r="I1140" s="3" t="s">
        <v>7</v>
      </c>
      <c r="J1140" s="3" t="s">
        <v>217</v>
      </c>
      <c r="K1140" s="3" t="s">
        <v>219</v>
      </c>
      <c r="L1140" s="12">
        <v>546876</v>
      </c>
      <c r="M1140" s="11">
        <v>2565238</v>
      </c>
    </row>
    <row r="1141" spans="1:13">
      <c r="A1141" s="15">
        <v>46235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7">
        <f>IFERROR(VLOOKUP(F1141,Hoja2!$K$2:$M$1198,2,FALSE),0)</f>
        <v>54001000</v>
      </c>
      <c r="H1141" s="17">
        <f>IFERROR(VLOOKUP(F1141,Hoja2!$K$2:$M$1198,3,FALSE),0)</f>
        <v>25799000</v>
      </c>
      <c r="I1141" s="3" t="s">
        <v>7</v>
      </c>
      <c r="J1141" s="3" t="s">
        <v>217</v>
      </c>
      <c r="K1141" s="3" t="s">
        <v>219</v>
      </c>
      <c r="L1141" s="12">
        <v>518840</v>
      </c>
      <c r="M1141" s="11">
        <v>2795831</v>
      </c>
    </row>
    <row r="1142" spans="1:13">
      <c r="A1142" s="15">
        <v>46235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7">
        <f>IFERROR(VLOOKUP(F1142,Hoja2!$K$2:$M$1198,2,FALSE),0)</f>
        <v>15238000</v>
      </c>
      <c r="H1142" s="17">
        <f>IFERROR(VLOOKUP(F1142,Hoja2!$K$2:$M$1198,3,FALSE),0)</f>
        <v>68081000</v>
      </c>
      <c r="I1142" s="3" t="s">
        <v>7</v>
      </c>
      <c r="J1142" s="3" t="s">
        <v>217</v>
      </c>
      <c r="K1142" s="3" t="s">
        <v>219</v>
      </c>
      <c r="L1142" s="12">
        <v>1152450</v>
      </c>
      <c r="M1142" s="11">
        <v>2137753</v>
      </c>
    </row>
    <row r="1143" spans="1:13">
      <c r="A1143" s="15">
        <v>46235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7">
        <f>IFERROR(VLOOKUP(F1143,Hoja2!$K$2:$M$1198,2,FALSE),0)</f>
        <v>15238000</v>
      </c>
      <c r="H1143" s="17">
        <f>IFERROR(VLOOKUP(F1143,Hoja2!$K$2:$M$1198,3,FALSE),0)</f>
        <v>54001000</v>
      </c>
      <c r="I1143" s="3" t="s">
        <v>7</v>
      </c>
      <c r="J1143" s="3" t="s">
        <v>217</v>
      </c>
      <c r="K1143" s="3" t="s">
        <v>219</v>
      </c>
      <c r="L1143" s="12">
        <v>520628</v>
      </c>
      <c r="M1143" s="11">
        <v>2165182</v>
      </c>
    </row>
    <row r="1144" spans="1:13">
      <c r="A1144" s="15">
        <v>46235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7">
        <f>IFERROR(VLOOKUP(F1144,Hoja2!$K$2:$M$1198,2,FALSE),0)</f>
        <v>15238000</v>
      </c>
      <c r="H1144" s="17">
        <f>IFERROR(VLOOKUP(F1144,Hoja2!$K$2:$M$1198,3,FALSE),0)</f>
        <v>50001000</v>
      </c>
      <c r="I1144" s="3" t="s">
        <v>7</v>
      </c>
      <c r="J1144" s="3" t="s">
        <v>217</v>
      </c>
      <c r="K1144" s="3" t="s">
        <v>219</v>
      </c>
      <c r="L1144" s="12">
        <v>544901</v>
      </c>
      <c r="M1144" s="11">
        <v>1591659</v>
      </c>
    </row>
    <row r="1145" spans="1:13">
      <c r="A1145" s="15">
        <v>46235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7">
        <f>IFERROR(VLOOKUP(F1145,Hoja2!$K$2:$M$1198,2,FALSE),0)</f>
        <v>15176000</v>
      </c>
      <c r="H1145" s="17">
        <f>IFERROR(VLOOKUP(F1145,Hoja2!$K$2:$M$1198,3,FALSE),0)</f>
        <v>11001000</v>
      </c>
      <c r="I1145" s="3" t="s">
        <v>7</v>
      </c>
      <c r="J1145" s="3" t="s">
        <v>217</v>
      </c>
      <c r="K1145" s="3" t="s">
        <v>219</v>
      </c>
      <c r="L1145" s="12">
        <v>1068501</v>
      </c>
      <c r="M1145" s="11">
        <v>261369</v>
      </c>
    </row>
    <row r="1146" spans="1:13">
      <c r="A1146" s="15">
        <v>46235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7">
        <f>IFERROR(VLOOKUP(F1146,Hoja2!$K$2:$M$1198,2,FALSE),0)</f>
        <v>15238000</v>
      </c>
      <c r="H1146" s="17">
        <f>IFERROR(VLOOKUP(F1146,Hoja2!$K$2:$M$1198,3,FALSE),0)</f>
        <v>66001000</v>
      </c>
      <c r="I1146" s="3" t="s">
        <v>7</v>
      </c>
      <c r="J1146" s="3" t="s">
        <v>217</v>
      </c>
      <c r="K1146" s="3" t="s">
        <v>219</v>
      </c>
      <c r="L1146" s="12">
        <v>646671</v>
      </c>
      <c r="M1146" s="11">
        <v>2155208</v>
      </c>
    </row>
    <row r="1147" spans="1:13">
      <c r="A1147" s="15">
        <v>46235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7">
        <f>IFERROR(VLOOKUP(F1147,Hoja2!$K$2:$M$1198,2,FALSE),0)</f>
        <v>20001000</v>
      </c>
      <c r="H1147" s="17">
        <f>IFERROR(VLOOKUP(F1147,Hoja2!$K$2:$M$1198,3,FALSE),0)</f>
        <v>5001000</v>
      </c>
      <c r="I1147" s="3" t="s">
        <v>7</v>
      </c>
      <c r="J1147" s="3" t="s">
        <v>217</v>
      </c>
      <c r="K1147" s="3" t="s">
        <v>219</v>
      </c>
      <c r="L1147" s="12">
        <v>546876</v>
      </c>
      <c r="M1147" s="11">
        <v>3034030</v>
      </c>
    </row>
    <row r="1148" spans="1:13">
      <c r="A1148" s="15">
        <v>46235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7">
        <f>IFERROR(VLOOKUP(F1148,Hoja2!$K$2:$M$1198,2,FALSE),0)</f>
        <v>20001000</v>
      </c>
      <c r="H1148" s="17">
        <f>IFERROR(VLOOKUP(F1148,Hoja2!$K$2:$M$1198,3,FALSE),0)</f>
        <v>47001000</v>
      </c>
      <c r="I1148" s="3" t="s">
        <v>7</v>
      </c>
      <c r="J1148" s="3" t="s">
        <v>217</v>
      </c>
      <c r="K1148" s="3" t="s">
        <v>219</v>
      </c>
      <c r="L1148" s="12">
        <v>546876</v>
      </c>
      <c r="M1148" s="11">
        <v>1572037</v>
      </c>
    </row>
    <row r="1149" spans="1:13">
      <c r="A1149" s="15">
        <v>46235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7">
        <f>IFERROR(VLOOKUP(F1149,Hoja2!$K$2:$M$1198,2,FALSE),0)</f>
        <v>20001000</v>
      </c>
      <c r="H1149" s="17">
        <f>IFERROR(VLOOKUP(F1149,Hoja2!$K$2:$M$1198,3,FALSE),0)</f>
        <v>54001000</v>
      </c>
      <c r="I1149" s="3" t="s">
        <v>7</v>
      </c>
      <c r="J1149" s="3" t="s">
        <v>217</v>
      </c>
      <c r="K1149" s="3" t="s">
        <v>219</v>
      </c>
      <c r="L1149" s="12">
        <v>546876</v>
      </c>
      <c r="M1149" s="11">
        <v>2580199</v>
      </c>
    </row>
    <row r="1150" spans="1:13">
      <c r="A1150" s="15">
        <v>46235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7">
        <f>IFERROR(VLOOKUP(F1150,Hoja2!$K$2:$M$1198,2,FALSE),0)</f>
        <v>44430000</v>
      </c>
      <c r="H1150" s="17">
        <f>IFERROR(VLOOKUP(F1150,Hoja2!$K$2:$M$1198,3,FALSE),0)</f>
        <v>68001000</v>
      </c>
      <c r="I1150" s="3" t="s">
        <v>7</v>
      </c>
      <c r="J1150" s="3" t="s">
        <v>217</v>
      </c>
      <c r="K1150" s="3" t="s">
        <v>219</v>
      </c>
      <c r="L1150" s="12">
        <v>694945</v>
      </c>
      <c r="M1150" s="11">
        <v>2889203</v>
      </c>
    </row>
    <row r="1151" spans="1:13">
      <c r="A1151" s="15">
        <v>46235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7">
        <f>IFERROR(VLOOKUP(F1151,Hoja2!$K$2:$M$1198,2,FALSE),0)</f>
        <v>11001000</v>
      </c>
      <c r="H1151" s="17">
        <f>IFERROR(VLOOKUP(F1151,Hoja2!$K$2:$M$1198,3,FALSE),0)</f>
        <v>25754000</v>
      </c>
      <c r="I1151" s="3" t="s">
        <v>7</v>
      </c>
      <c r="J1151" s="3" t="s">
        <v>217</v>
      </c>
      <c r="K1151" s="3" t="s">
        <v>219</v>
      </c>
      <c r="L1151" s="12">
        <v>495020</v>
      </c>
      <c r="M1151" s="11">
        <v>269443</v>
      </c>
    </row>
    <row r="1152" spans="1:13">
      <c r="A1152" s="15">
        <v>46235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7">
        <f>IFERROR(VLOOKUP(F1152,Hoja2!$K$2:$M$1198,2,FALSE),0)</f>
        <v>11001000</v>
      </c>
      <c r="H1152" s="17">
        <f>IFERROR(VLOOKUP(F1152,Hoja2!$K$2:$M$1198,3,FALSE),0)</f>
        <v>25430000</v>
      </c>
      <c r="I1152" s="3" t="s">
        <v>7</v>
      </c>
      <c r="J1152" s="3" t="s">
        <v>217</v>
      </c>
      <c r="K1152" s="3" t="s">
        <v>219</v>
      </c>
      <c r="L1152" s="12">
        <v>495040</v>
      </c>
      <c r="M1152" s="11">
        <v>552825</v>
      </c>
    </row>
    <row r="1153" spans="1:13">
      <c r="A1153" s="15">
        <v>46235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7">
        <f>IFERROR(VLOOKUP(F1153,Hoja2!$K$2:$M$1198,2,FALSE),0)</f>
        <v>11001000</v>
      </c>
      <c r="H1153" s="17">
        <f>IFERROR(VLOOKUP(F1153,Hoja2!$K$2:$M$1198,3,FALSE),0)</f>
        <v>25875000</v>
      </c>
      <c r="I1153" s="3" t="s">
        <v>7</v>
      </c>
      <c r="J1153" s="3" t="s">
        <v>217</v>
      </c>
      <c r="K1153" s="3" t="s">
        <v>219</v>
      </c>
      <c r="L1153" s="12">
        <v>1017450</v>
      </c>
      <c r="M1153" s="11">
        <v>739020</v>
      </c>
    </row>
    <row r="1154" spans="1:13">
      <c r="A1154" s="15">
        <v>46235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7">
        <f>IFERROR(VLOOKUP(F1154,Hoja2!$K$2:$M$1198,2,FALSE),0)</f>
        <v>11001000</v>
      </c>
      <c r="H1154" s="17">
        <f>IFERROR(VLOOKUP(F1154,Hoja2!$K$2:$M$1198,3,FALSE),0)</f>
        <v>25386000</v>
      </c>
      <c r="I1154" s="3" t="s">
        <v>7</v>
      </c>
      <c r="J1154" s="3" t="s">
        <v>217</v>
      </c>
      <c r="K1154" s="3" t="s">
        <v>219</v>
      </c>
      <c r="L1154" s="12">
        <v>1017450</v>
      </c>
      <c r="M1154" s="11">
        <v>799738</v>
      </c>
    </row>
    <row r="1155" spans="1:13">
      <c r="A1155" s="15">
        <v>46235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7">
        <f>IFERROR(VLOOKUP(F1155,Hoja2!$K$2:$M$1198,2,FALSE),0)</f>
        <v>11001000</v>
      </c>
      <c r="H1155" s="17">
        <f>IFERROR(VLOOKUP(F1155,Hoja2!$K$2:$M$1198,3,FALSE),0)</f>
        <v>25430000</v>
      </c>
      <c r="I1155" s="3" t="s">
        <v>7</v>
      </c>
      <c r="J1155" s="3" t="s">
        <v>217</v>
      </c>
      <c r="K1155" s="3" t="s">
        <v>219</v>
      </c>
      <c r="L1155" s="12">
        <v>518820</v>
      </c>
      <c r="M1155" s="11">
        <v>558699</v>
      </c>
    </row>
    <row r="1156" spans="1:13">
      <c r="A1156" s="15">
        <v>46235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7">
        <f>IFERROR(VLOOKUP(F1156,Hoja2!$K$2:$M$1198,2,FALSE),0)</f>
        <v>11001000</v>
      </c>
      <c r="H1156" s="17">
        <f>IFERROR(VLOOKUP(F1156,Hoja2!$K$2:$M$1198,3,FALSE),0)</f>
        <v>25386000</v>
      </c>
      <c r="I1156" s="3" t="s">
        <v>7</v>
      </c>
      <c r="J1156" s="3" t="s">
        <v>217</v>
      </c>
      <c r="K1156" s="3" t="s">
        <v>219</v>
      </c>
      <c r="L1156" s="12">
        <v>1041230</v>
      </c>
      <c r="M1156" s="11">
        <v>793830</v>
      </c>
    </row>
    <row r="1157" spans="1:13">
      <c r="A1157" s="15">
        <v>46235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7">
        <f>IFERROR(VLOOKUP(F1157,Hoja2!$K$2:$M$1198,2,FALSE),0)</f>
        <v>25799000</v>
      </c>
      <c r="H1157" s="17">
        <f>IFERROR(VLOOKUP(F1157,Hoja2!$K$2:$M$1198,3,FALSE),0)</f>
        <v>11001000</v>
      </c>
      <c r="I1157" s="3" t="s">
        <v>7</v>
      </c>
      <c r="J1157" s="3" t="s">
        <v>217</v>
      </c>
      <c r="K1157" s="3" t="s">
        <v>219</v>
      </c>
      <c r="L1157" s="12">
        <v>495040</v>
      </c>
      <c r="M1157" s="11">
        <v>587474</v>
      </c>
    </row>
    <row r="1158" spans="1:13">
      <c r="A1158" s="15">
        <v>46235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7">
        <f>IFERROR(VLOOKUP(F1158,Hoja2!$K$2:$M$1198,2,FALSE),0)</f>
        <v>41001000</v>
      </c>
      <c r="H1158" s="17">
        <f>IFERROR(VLOOKUP(F1158,Hoja2!$K$2:$M$1198,3,FALSE),0)</f>
        <v>11001000</v>
      </c>
      <c r="I1158" s="3" t="s">
        <v>7</v>
      </c>
      <c r="J1158" s="3" t="s">
        <v>217</v>
      </c>
      <c r="K1158" s="3" t="s">
        <v>219</v>
      </c>
      <c r="L1158" s="12">
        <v>592620</v>
      </c>
      <c r="M1158" s="11">
        <v>1688717</v>
      </c>
    </row>
    <row r="1159" spans="1:13">
      <c r="A1159" s="15">
        <v>46235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7">
        <f>IFERROR(VLOOKUP(F1159,Hoja2!$K$2:$M$1198,2,FALSE),0)</f>
        <v>11001000</v>
      </c>
      <c r="H1159" s="17">
        <f>IFERROR(VLOOKUP(F1159,Hoja2!$K$2:$M$1198,3,FALSE),0)</f>
        <v>25151000</v>
      </c>
      <c r="I1159" s="3" t="s">
        <v>7</v>
      </c>
      <c r="J1159" s="3" t="s">
        <v>217</v>
      </c>
      <c r="K1159" s="3" t="s">
        <v>219</v>
      </c>
      <c r="L1159" s="12">
        <v>1040830</v>
      </c>
      <c r="M1159" s="11">
        <v>773545</v>
      </c>
    </row>
    <row r="1160" spans="1:13">
      <c r="A1160" s="15">
        <v>46235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7">
        <f>IFERROR(VLOOKUP(F1160,Hoja2!$K$2:$M$1198,2,FALSE),0)</f>
        <v>25799000</v>
      </c>
      <c r="H1160" s="17">
        <f>IFERROR(VLOOKUP(F1160,Hoja2!$K$2:$M$1198,3,FALSE),0)</f>
        <v>25430000</v>
      </c>
      <c r="I1160" s="3" t="s">
        <v>7</v>
      </c>
      <c r="J1160" s="3" t="s">
        <v>217</v>
      </c>
      <c r="K1160" s="3" t="s">
        <v>219</v>
      </c>
      <c r="L1160" s="12">
        <v>518840</v>
      </c>
      <c r="M1160" s="11">
        <v>283295</v>
      </c>
    </row>
    <row r="1161" spans="1:13">
      <c r="A1161" s="15">
        <v>46235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7">
        <f>IFERROR(VLOOKUP(F1161,Hoja2!$K$2:$M$1198,2,FALSE),0)</f>
        <v>25799000</v>
      </c>
      <c r="H1161" s="17">
        <f>IFERROR(VLOOKUP(F1161,Hoja2!$K$2:$M$1198,3,FALSE),0)</f>
        <v>11001000</v>
      </c>
      <c r="I1161" s="3" t="s">
        <v>7</v>
      </c>
      <c r="J1161" s="3" t="s">
        <v>217</v>
      </c>
      <c r="K1161" s="3" t="s">
        <v>219</v>
      </c>
      <c r="L1161" s="12">
        <v>1041250</v>
      </c>
      <c r="M1161" s="11">
        <v>740432</v>
      </c>
    </row>
    <row r="1162" spans="1:13">
      <c r="A1162" s="15">
        <v>46235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7">
        <f>IFERROR(VLOOKUP(F1162,Hoja2!$K$2:$M$1198,2,FALSE),0)</f>
        <v>25799000</v>
      </c>
      <c r="H1162" s="17">
        <f>IFERROR(VLOOKUP(F1162,Hoja2!$K$2:$M$1198,3,FALSE),0)</f>
        <v>25899000</v>
      </c>
      <c r="I1162" s="3" t="s">
        <v>7</v>
      </c>
      <c r="J1162" s="3" t="s">
        <v>217</v>
      </c>
      <c r="K1162" s="3" t="s">
        <v>219</v>
      </c>
      <c r="L1162" s="12">
        <v>493969</v>
      </c>
      <c r="M1162" s="11">
        <v>674352</v>
      </c>
    </row>
    <row r="1163" spans="1:13">
      <c r="A1163" s="15">
        <v>46235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7">
        <f>IFERROR(VLOOKUP(F1163,Hoja2!$K$2:$M$1198,2,FALSE),0)</f>
        <v>25799000</v>
      </c>
      <c r="H1163" s="17">
        <f>IFERROR(VLOOKUP(F1163,Hoja2!$K$2:$M$1198,3,FALSE),0)</f>
        <v>47001000</v>
      </c>
      <c r="I1163" s="3" t="s">
        <v>7</v>
      </c>
      <c r="J1163" s="3" t="s">
        <v>217</v>
      </c>
      <c r="K1163" s="3" t="s">
        <v>219</v>
      </c>
      <c r="L1163" s="12">
        <v>694945</v>
      </c>
      <c r="M1163" s="11">
        <v>4001920</v>
      </c>
    </row>
    <row r="1164" spans="1:13">
      <c r="A1164" s="15">
        <v>46235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7">
        <f>IFERROR(VLOOKUP(F1164,Hoja2!$K$2:$M$1198,2,FALSE),0)</f>
        <v>25799000</v>
      </c>
      <c r="H1164" s="17">
        <f>IFERROR(VLOOKUP(F1164,Hoja2!$K$2:$M$1198,3,FALSE),0)</f>
        <v>76109000</v>
      </c>
      <c r="I1164" s="3" t="s">
        <v>7</v>
      </c>
      <c r="J1164" s="3" t="s">
        <v>217</v>
      </c>
      <c r="K1164" s="3" t="s">
        <v>219</v>
      </c>
      <c r="L1164" s="12">
        <v>770260</v>
      </c>
      <c r="M1164" s="11">
        <v>2495418</v>
      </c>
    </row>
    <row r="1165" spans="1:13">
      <c r="A1165" s="15">
        <v>46235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7">
        <f>IFERROR(VLOOKUP(F1165,Hoja2!$K$2:$M$1198,2,FALSE),0)</f>
        <v>11001000</v>
      </c>
      <c r="H1165" s="17">
        <f>IFERROR(VLOOKUP(F1165,Hoja2!$K$2:$M$1198,3,FALSE),0)</f>
        <v>70001000</v>
      </c>
      <c r="I1165" s="3" t="s">
        <v>7</v>
      </c>
      <c r="J1165" s="3" t="s">
        <v>217</v>
      </c>
      <c r="K1165" s="3" t="s">
        <v>219</v>
      </c>
      <c r="L1165" s="12">
        <v>694945</v>
      </c>
      <c r="M1165" s="11">
        <v>4288681</v>
      </c>
    </row>
    <row r="1166" spans="1:13">
      <c r="A1166" s="15">
        <v>46235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7">
        <f>IFERROR(VLOOKUP(F1166,Hoja2!$K$2:$M$1198,2,FALSE),0)</f>
        <v>25799000</v>
      </c>
      <c r="H1166" s="17">
        <f>IFERROR(VLOOKUP(F1166,Hoja2!$K$2:$M$1198,3,FALSE),0)</f>
        <v>76001000</v>
      </c>
      <c r="I1166" s="3" t="s">
        <v>7</v>
      </c>
      <c r="J1166" s="3" t="s">
        <v>217</v>
      </c>
      <c r="K1166" s="3" t="s">
        <v>219</v>
      </c>
      <c r="L1166" s="12">
        <v>694139</v>
      </c>
      <c r="M1166" s="11">
        <v>1913331</v>
      </c>
    </row>
    <row r="1167" spans="1:13">
      <c r="A1167" s="15">
        <v>46235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7">
        <f>IFERROR(VLOOKUP(F1167,Hoja2!$K$2:$M$1198,2,FALSE),0)</f>
        <v>25799000</v>
      </c>
      <c r="H1167" s="17">
        <f>IFERROR(VLOOKUP(F1167,Hoja2!$K$2:$M$1198,3,FALSE),0)</f>
        <v>68001000</v>
      </c>
      <c r="I1167" s="3" t="s">
        <v>7</v>
      </c>
      <c r="J1167" s="3" t="s">
        <v>217</v>
      </c>
      <c r="K1167" s="3" t="s">
        <v>219</v>
      </c>
      <c r="L1167" s="12">
        <v>981863</v>
      </c>
      <c r="M1167" s="11">
        <v>1666467</v>
      </c>
    </row>
    <row r="1168" spans="1:13">
      <c r="A1168" s="15">
        <v>46235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7">
        <f>IFERROR(VLOOKUP(F1168,Hoja2!$K$2:$M$1198,2,FALSE),0)</f>
        <v>25799000</v>
      </c>
      <c r="H1168" s="17">
        <f>IFERROR(VLOOKUP(F1168,Hoja2!$K$2:$M$1198,3,FALSE),0)</f>
        <v>68001000</v>
      </c>
      <c r="I1168" s="3" t="s">
        <v>7</v>
      </c>
      <c r="J1168" s="3" t="s">
        <v>217</v>
      </c>
      <c r="K1168" s="3" t="s">
        <v>219</v>
      </c>
      <c r="L1168" s="12">
        <v>656101</v>
      </c>
      <c r="M1168" s="11">
        <v>2075413</v>
      </c>
    </row>
    <row r="1169" spans="1:13">
      <c r="A1169" s="15">
        <v>46235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7">
        <f>IFERROR(VLOOKUP(F1169,Hoja2!$K$2:$M$1198,2,FALSE),0)</f>
        <v>11001000</v>
      </c>
      <c r="H1169" s="17">
        <f>IFERROR(VLOOKUP(F1169,Hoja2!$K$2:$M$1198,3,FALSE),0)</f>
        <v>54498000</v>
      </c>
      <c r="I1169" s="3" t="s">
        <v>7</v>
      </c>
      <c r="J1169" s="3" t="s">
        <v>217</v>
      </c>
      <c r="K1169" s="3" t="s">
        <v>219</v>
      </c>
      <c r="L1169" s="12">
        <v>1177321</v>
      </c>
      <c r="M1169" s="11">
        <v>2842025</v>
      </c>
    </row>
    <row r="1170" spans="1:13">
      <c r="A1170" s="15">
        <v>46235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7">
        <f>IFERROR(VLOOKUP(F1170,Hoja2!$K$2:$M$1198,2,FALSE),0)</f>
        <v>11001000</v>
      </c>
      <c r="H1170" s="17">
        <f>IFERROR(VLOOKUP(F1170,Hoja2!$K$2:$M$1198,3,FALSE),0)</f>
        <v>20011000</v>
      </c>
      <c r="I1170" s="3" t="s">
        <v>7</v>
      </c>
      <c r="J1170" s="3" t="s">
        <v>217</v>
      </c>
      <c r="K1170" s="3" t="s">
        <v>219</v>
      </c>
      <c r="L1170" s="12">
        <v>1177321</v>
      </c>
      <c r="M1170" s="11">
        <v>2727320</v>
      </c>
    </row>
    <row r="1171" spans="1:13">
      <c r="A1171" s="15">
        <v>46235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7">
        <f>IFERROR(VLOOKUP(F1171,Hoja2!$K$2:$M$1198,2,FALSE),0)</f>
        <v>25799000</v>
      </c>
      <c r="H1171" s="17">
        <f>IFERROR(VLOOKUP(F1171,Hoja2!$K$2:$M$1198,3,FALSE),0)</f>
        <v>11001000</v>
      </c>
      <c r="I1171" s="3" t="s">
        <v>7</v>
      </c>
      <c r="J1171" s="3" t="s">
        <v>217</v>
      </c>
      <c r="K1171" s="3" t="s">
        <v>219</v>
      </c>
      <c r="L1171" s="12">
        <v>1040850</v>
      </c>
      <c r="M1171" s="11">
        <v>671319</v>
      </c>
    </row>
    <row r="1172" spans="1:13">
      <c r="A1172" s="15">
        <v>46235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7">
        <f>IFERROR(VLOOKUP(F1172,Hoja2!$K$2:$M$1198,2,FALSE),0)</f>
        <v>25799000</v>
      </c>
      <c r="H1172" s="17">
        <f>IFERROR(VLOOKUP(F1172,Hoja2!$K$2:$M$1198,3,FALSE),0)</f>
        <v>11001000</v>
      </c>
      <c r="I1172" s="3" t="s">
        <v>7</v>
      </c>
      <c r="J1172" s="3" t="s">
        <v>217</v>
      </c>
      <c r="K1172" s="3" t="s">
        <v>219</v>
      </c>
      <c r="L1172" s="12">
        <v>1040850</v>
      </c>
      <c r="M1172" s="11">
        <v>691268</v>
      </c>
    </row>
    <row r="1173" spans="1:13">
      <c r="A1173" s="15">
        <v>46235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7">
        <f>IFERROR(VLOOKUP(F1173,Hoja2!$K$2:$M$1198,2,FALSE),0)</f>
        <v>25799000</v>
      </c>
      <c r="H1173" s="17">
        <f>IFERROR(VLOOKUP(F1173,Hoja2!$K$2:$M$1198,3,FALSE),0)</f>
        <v>73001000</v>
      </c>
      <c r="I1173" s="3" t="s">
        <v>7</v>
      </c>
      <c r="J1173" s="3" t="s">
        <v>217</v>
      </c>
      <c r="K1173" s="3" t="s">
        <v>219</v>
      </c>
      <c r="L1173" s="12">
        <v>1041250</v>
      </c>
      <c r="M1173" s="11">
        <v>1073863</v>
      </c>
    </row>
    <row r="1174" spans="1:13">
      <c r="A1174" s="15">
        <v>46235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7">
        <f>IFERROR(VLOOKUP(F1174,Hoja2!$K$2:$M$1198,2,FALSE),0)</f>
        <v>11001000</v>
      </c>
      <c r="H1174" s="17">
        <f>IFERROR(VLOOKUP(F1174,Hoja2!$K$2:$M$1198,3,FALSE),0)</f>
        <v>17001000</v>
      </c>
      <c r="I1174" s="3" t="s">
        <v>7</v>
      </c>
      <c r="J1174" s="3" t="s">
        <v>217</v>
      </c>
      <c r="K1174" s="3" t="s">
        <v>219</v>
      </c>
      <c r="L1174" s="12">
        <v>702327</v>
      </c>
      <c r="M1174" s="11">
        <v>1878421</v>
      </c>
    </row>
    <row r="1175" spans="1:13">
      <c r="A1175" s="15">
        <v>46235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7">
        <f>IFERROR(VLOOKUP(F1175,Hoja2!$K$2:$M$1198,2,FALSE),0)</f>
        <v>76109000</v>
      </c>
      <c r="H1175" s="17">
        <f>IFERROR(VLOOKUP(F1175,Hoja2!$K$2:$M$1198,3,FALSE),0)</f>
        <v>5001000</v>
      </c>
      <c r="I1175" s="3" t="s">
        <v>7</v>
      </c>
      <c r="J1175" s="3" t="s">
        <v>217</v>
      </c>
      <c r="K1175" s="3" t="s">
        <v>219</v>
      </c>
      <c r="L1175" s="12">
        <v>843315</v>
      </c>
      <c r="M1175" s="11">
        <v>2003807</v>
      </c>
    </row>
    <row r="1176" spans="1:13">
      <c r="A1176" s="15">
        <v>46235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7">
        <f>IFERROR(VLOOKUP(F1176,Hoja2!$K$2:$M$1198,2,FALSE),0)</f>
        <v>5360000</v>
      </c>
      <c r="H1176" s="17">
        <f>IFERROR(VLOOKUP(F1176,Hoja2!$K$2:$M$1198,3,FALSE),0)</f>
        <v>5615000</v>
      </c>
      <c r="I1176" s="3" t="s">
        <v>7</v>
      </c>
      <c r="J1176" s="3" t="s">
        <v>217</v>
      </c>
      <c r="K1176" s="3" t="s">
        <v>219</v>
      </c>
      <c r="L1176" s="12">
        <v>487525</v>
      </c>
      <c r="M1176" s="11">
        <v>626657</v>
      </c>
    </row>
    <row r="1177" spans="1:13">
      <c r="A1177" s="15">
        <v>46235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7">
        <f>IFERROR(VLOOKUP(F1177,Hoja2!$K$2:$M$1198,2,FALSE),0)</f>
        <v>25899000</v>
      </c>
      <c r="H1177" s="17">
        <f>IFERROR(VLOOKUP(F1177,Hoja2!$K$2:$M$1198,3,FALSE),0)</f>
        <v>25430000</v>
      </c>
      <c r="I1177" s="3" t="s">
        <v>7</v>
      </c>
      <c r="J1177" s="3" t="s">
        <v>217</v>
      </c>
      <c r="K1177" s="3" t="s">
        <v>219</v>
      </c>
      <c r="L1177" s="12">
        <v>493969</v>
      </c>
      <c r="M1177" s="11">
        <v>604706</v>
      </c>
    </row>
    <row r="1178" spans="1:13">
      <c r="A1178" s="15">
        <v>46235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7">
        <f>IFERROR(VLOOKUP(F1178,Hoja2!$K$2:$M$1198,2,FALSE),0)</f>
        <v>25875000</v>
      </c>
      <c r="H1178" s="17">
        <f>IFERROR(VLOOKUP(F1178,Hoja2!$K$2:$M$1198,3,FALSE),0)</f>
        <v>11001000</v>
      </c>
      <c r="I1178" s="3" t="s">
        <v>7</v>
      </c>
      <c r="J1178" s="3" t="s">
        <v>217</v>
      </c>
      <c r="K1178" s="3" t="s">
        <v>219</v>
      </c>
      <c r="L1178" s="12">
        <v>1041230</v>
      </c>
      <c r="M1178" s="11">
        <v>723684</v>
      </c>
    </row>
    <row r="1179" spans="1:13">
      <c r="A1179" s="15">
        <v>46235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7">
        <f>IFERROR(VLOOKUP(F1179,Hoja2!$K$2:$M$1198,2,FALSE),0)</f>
        <v>5001000</v>
      </c>
      <c r="H1179" s="17">
        <f>IFERROR(VLOOKUP(F1179,Hoja2!$K$2:$M$1198,3,FALSE),0)</f>
        <v>5042000</v>
      </c>
      <c r="I1179" s="3" t="s">
        <v>7</v>
      </c>
      <c r="J1179" s="3" t="s">
        <v>217</v>
      </c>
      <c r="K1179" s="3" t="s">
        <v>219</v>
      </c>
      <c r="L1179" s="12">
        <v>487525</v>
      </c>
      <c r="M1179" s="11">
        <v>646740</v>
      </c>
    </row>
    <row r="1180" spans="1:13">
      <c r="A1180" s="15">
        <v>46235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7">
        <f>IFERROR(VLOOKUP(F1180,Hoja2!$K$2:$M$1198,2,FALSE),0)</f>
        <v>54001000</v>
      </c>
      <c r="H1180" s="17">
        <f>IFERROR(VLOOKUP(F1180,Hoja2!$K$2:$M$1198,3,FALSE),0)</f>
        <v>20011000</v>
      </c>
      <c r="I1180" s="3" t="s">
        <v>7</v>
      </c>
      <c r="J1180" s="3" t="s">
        <v>217</v>
      </c>
      <c r="K1180" s="3" t="s">
        <v>219</v>
      </c>
      <c r="L1180" s="12">
        <v>1177321</v>
      </c>
      <c r="M1180" s="11">
        <v>1649413</v>
      </c>
    </row>
    <row r="1181" spans="1:13">
      <c r="A1181" s="15">
        <v>46235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7">
        <f>IFERROR(VLOOKUP(F1181,Hoja2!$K$2:$M$1198,2,FALSE),0)</f>
        <v>5088000</v>
      </c>
      <c r="H1181" s="17">
        <f>IFERROR(VLOOKUP(F1181,Hoja2!$K$2:$M$1198,3,FALSE),0)</f>
        <v>76001000</v>
      </c>
      <c r="I1181" s="3" t="s">
        <v>7</v>
      </c>
      <c r="J1181" s="3" t="s">
        <v>217</v>
      </c>
      <c r="K1181" s="3" t="s">
        <v>219</v>
      </c>
      <c r="L1181" s="12">
        <v>518840</v>
      </c>
      <c r="M1181" s="11">
        <v>2038717</v>
      </c>
    </row>
    <row r="1182" spans="1:13">
      <c r="A1182" s="15">
        <v>46235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7">
        <f>IFERROR(VLOOKUP(F1182,Hoja2!$K$2:$M$1198,2,FALSE),0)</f>
        <v>5001000</v>
      </c>
      <c r="H1182" s="17">
        <f>IFERROR(VLOOKUP(F1182,Hoja2!$K$2:$M$1198,3,FALSE),0)</f>
        <v>20011000</v>
      </c>
      <c r="I1182" s="3" t="s">
        <v>7</v>
      </c>
      <c r="J1182" s="3" t="s">
        <v>217</v>
      </c>
      <c r="K1182" s="3" t="s">
        <v>219</v>
      </c>
      <c r="L1182" s="12">
        <v>1177321</v>
      </c>
      <c r="M1182" s="11">
        <v>1986352</v>
      </c>
    </row>
    <row r="1183" spans="1:13">
      <c r="A1183" s="15">
        <v>46235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7">
        <f>IFERROR(VLOOKUP(F1183,Hoja2!$K$2:$M$1198,2,FALSE),0)</f>
        <v>5088000</v>
      </c>
      <c r="H1183" s="17">
        <f>IFERROR(VLOOKUP(F1183,Hoja2!$K$2:$M$1198,3,FALSE),0)</f>
        <v>17001000</v>
      </c>
      <c r="I1183" s="3" t="s">
        <v>7</v>
      </c>
      <c r="J1183" s="3" t="s">
        <v>217</v>
      </c>
      <c r="K1183" s="3" t="s">
        <v>219</v>
      </c>
      <c r="L1183" s="12">
        <v>717281</v>
      </c>
      <c r="M1183" s="11">
        <v>1073863</v>
      </c>
    </row>
    <row r="1184" spans="1:13">
      <c r="A1184" s="15">
        <v>46235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7">
        <f>IFERROR(VLOOKUP(F1184,Hoja2!$K$2:$M$1198,2,FALSE),0)</f>
        <v>5088000</v>
      </c>
      <c r="H1184" s="17">
        <f>IFERROR(VLOOKUP(F1184,Hoja2!$K$2:$M$1198,3,FALSE),0)</f>
        <v>47001000</v>
      </c>
      <c r="I1184" s="3" t="s">
        <v>7</v>
      </c>
      <c r="J1184" s="3" t="s">
        <v>217</v>
      </c>
      <c r="K1184" s="3" t="s">
        <v>219</v>
      </c>
      <c r="L1184" s="12">
        <v>709864</v>
      </c>
      <c r="M1184" s="11">
        <v>3066446</v>
      </c>
    </row>
    <row r="1185" spans="1:13">
      <c r="A1185" s="15">
        <v>46235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7">
        <f>IFERROR(VLOOKUP(F1185,Hoja2!$K$2:$M$1198,2,FALSE),0)</f>
        <v>5001000</v>
      </c>
      <c r="H1185" s="17">
        <f>IFERROR(VLOOKUP(F1185,Hoja2!$K$2:$M$1198,3,FALSE),0)</f>
        <v>63001000</v>
      </c>
      <c r="I1185" s="3" t="s">
        <v>7</v>
      </c>
      <c r="J1185" s="3" t="s">
        <v>217</v>
      </c>
      <c r="K1185" s="3" t="s">
        <v>219</v>
      </c>
      <c r="L1185" s="12">
        <v>806293</v>
      </c>
      <c r="M1185" s="11">
        <v>1624784</v>
      </c>
    </row>
    <row r="1186" spans="1:13">
      <c r="A1186" s="15">
        <v>46235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7">
        <f>IFERROR(VLOOKUP(F1186,Hoja2!$K$2:$M$1198,2,FALSE),0)</f>
        <v>5001000</v>
      </c>
      <c r="H1186" s="17">
        <f>IFERROR(VLOOKUP(F1186,Hoja2!$K$2:$M$1198,3,FALSE),0)</f>
        <v>15238000</v>
      </c>
      <c r="I1186" s="3" t="s">
        <v>7</v>
      </c>
      <c r="J1186" s="3" t="s">
        <v>217</v>
      </c>
      <c r="K1186" s="3" t="s">
        <v>219</v>
      </c>
      <c r="L1186" s="12">
        <v>568928</v>
      </c>
      <c r="M1186" s="11">
        <v>2682436</v>
      </c>
    </row>
    <row r="1187" spans="1:13">
      <c r="A1187" s="15">
        <v>46235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7">
        <f>IFERROR(VLOOKUP(F1187,Hoja2!$K$2:$M$1198,2,FALSE),0)</f>
        <v>5088000</v>
      </c>
      <c r="H1187" s="17">
        <f>IFERROR(VLOOKUP(F1187,Hoja2!$K$2:$M$1198,3,FALSE),0)</f>
        <v>47001000</v>
      </c>
      <c r="I1187" s="3" t="s">
        <v>7</v>
      </c>
      <c r="J1187" s="3" t="s">
        <v>217</v>
      </c>
      <c r="K1187" s="3" t="s">
        <v>219</v>
      </c>
      <c r="L1187" s="12">
        <v>763647</v>
      </c>
      <c r="M1187" s="11">
        <v>2871948</v>
      </c>
    </row>
    <row r="1188" spans="1:13">
      <c r="A1188" s="15">
        <v>46235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7">
        <f>IFERROR(VLOOKUP(F1188,Hoja2!$K$2:$M$1198,2,FALSE),0)</f>
        <v>5088000</v>
      </c>
      <c r="H1188" s="17">
        <f>IFERROR(VLOOKUP(F1188,Hoja2!$K$2:$M$1198,3,FALSE),0)</f>
        <v>76109000</v>
      </c>
      <c r="I1188" s="3" t="s">
        <v>7</v>
      </c>
      <c r="J1188" s="3" t="s">
        <v>217</v>
      </c>
      <c r="K1188" s="3" t="s">
        <v>219</v>
      </c>
      <c r="L1188" s="12">
        <v>847016</v>
      </c>
      <c r="M1188" s="11">
        <v>2031237</v>
      </c>
    </row>
    <row r="1189" spans="1:13">
      <c r="A1189" s="15">
        <v>46235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7">
        <f>IFERROR(VLOOKUP(F1189,Hoja2!$K$2:$M$1198,2,FALSE),0)</f>
        <v>5088000</v>
      </c>
      <c r="H1189" s="17">
        <f>IFERROR(VLOOKUP(F1189,Hoja2!$K$2:$M$1198,3,FALSE),0)</f>
        <v>76111000</v>
      </c>
      <c r="I1189" s="3" t="s">
        <v>7</v>
      </c>
      <c r="J1189" s="3" t="s">
        <v>217</v>
      </c>
      <c r="K1189" s="3" t="s">
        <v>219</v>
      </c>
      <c r="L1189" s="12">
        <v>694139</v>
      </c>
      <c r="M1189" s="11">
        <v>1844878</v>
      </c>
    </row>
    <row r="1190" spans="1:13">
      <c r="A1190" s="15">
        <v>46235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7">
        <f>IFERROR(VLOOKUP(F1190,Hoja2!$K$2:$M$1198,2,FALSE),0)</f>
        <v>5088000</v>
      </c>
      <c r="H1190" s="17">
        <f>IFERROR(VLOOKUP(F1190,Hoja2!$K$2:$M$1198,3,FALSE),0)</f>
        <v>11001000</v>
      </c>
      <c r="I1190" s="3" t="s">
        <v>7</v>
      </c>
      <c r="J1190" s="3" t="s">
        <v>217</v>
      </c>
      <c r="K1190" s="3" t="s">
        <v>219</v>
      </c>
      <c r="L1190" s="12">
        <v>518840</v>
      </c>
      <c r="M1190" s="11">
        <v>1881622</v>
      </c>
    </row>
    <row r="1191" spans="1:13">
      <c r="A1191" s="15">
        <v>46235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7">
        <f>IFERROR(VLOOKUP(F1191,Hoja2!$K$2:$M$1198,2,FALSE),0)</f>
        <v>5088000</v>
      </c>
      <c r="H1191" s="17">
        <f>IFERROR(VLOOKUP(F1191,Hoja2!$K$2:$M$1198,3,FALSE),0)</f>
        <v>11001000</v>
      </c>
      <c r="I1191" s="3" t="s">
        <v>7</v>
      </c>
      <c r="J1191" s="3" t="s">
        <v>217</v>
      </c>
      <c r="K1191" s="3" t="s">
        <v>219</v>
      </c>
      <c r="L1191" s="12">
        <v>1040850</v>
      </c>
      <c r="M1191" s="11">
        <v>2003807</v>
      </c>
    </row>
    <row r="1192" spans="1:13">
      <c r="A1192" s="15">
        <v>46235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7">
        <f>IFERROR(VLOOKUP(F1192,Hoja2!$K$2:$M$1198,2,FALSE),0)</f>
        <v>5088000</v>
      </c>
      <c r="H1192" s="17">
        <f>IFERROR(VLOOKUP(F1192,Hoja2!$K$2:$M$1198,3,FALSE),0)</f>
        <v>13001000</v>
      </c>
      <c r="I1192" s="3" t="s">
        <v>7</v>
      </c>
      <c r="J1192" s="3" t="s">
        <v>217</v>
      </c>
      <c r="K1192" s="3" t="s">
        <v>219</v>
      </c>
      <c r="L1192" s="12">
        <v>598599</v>
      </c>
      <c r="M1192" s="11">
        <v>2869454</v>
      </c>
    </row>
    <row r="1193" spans="1:13">
      <c r="A1193" s="15">
        <v>46235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7">
        <f>IFERROR(VLOOKUP(F1193,Hoja2!$K$2:$M$1198,2,FALSE),0)</f>
        <v>5001000</v>
      </c>
      <c r="H1193" s="17">
        <f>IFERROR(VLOOKUP(F1193,Hoja2!$K$2:$M$1198,3,FALSE),0)</f>
        <v>5154000</v>
      </c>
      <c r="I1193" s="3" t="s">
        <v>7</v>
      </c>
      <c r="J1193" s="3" t="s">
        <v>217</v>
      </c>
      <c r="K1193" s="3" t="s">
        <v>219</v>
      </c>
      <c r="L1193" s="12">
        <v>781711</v>
      </c>
      <c r="M1193" s="11">
        <v>1565855</v>
      </c>
    </row>
    <row r="1194" spans="1:13">
      <c r="A1194" s="15">
        <v>46235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7">
        <f>IFERROR(VLOOKUP(F1194,Hoja2!$K$2:$M$1198,2,FALSE),0)</f>
        <v>5088000</v>
      </c>
      <c r="H1194" s="17">
        <f>IFERROR(VLOOKUP(F1194,Hoja2!$K$2:$M$1198,3,FALSE),0)</f>
        <v>5001000</v>
      </c>
      <c r="I1194" s="3" t="s">
        <v>7</v>
      </c>
      <c r="J1194" s="3" t="s">
        <v>217</v>
      </c>
      <c r="K1194" s="3" t="s">
        <v>219</v>
      </c>
      <c r="L1194" s="12">
        <v>643105</v>
      </c>
      <c r="M1194" s="11">
        <v>1707356</v>
      </c>
    </row>
    <row r="1195" spans="1:13">
      <c r="A1195" s="15">
        <v>46235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7">
        <f>IFERROR(VLOOKUP(F1195,Hoja2!$K$2:$M$1198,2,FALSE),0)</f>
        <v>5001000</v>
      </c>
      <c r="H1195" s="17">
        <f>IFERROR(VLOOKUP(F1195,Hoja2!$K$2:$M$1198,3,FALSE),0)</f>
        <v>15238000</v>
      </c>
      <c r="I1195" s="3" t="s">
        <v>7</v>
      </c>
      <c r="J1195" s="3" t="s">
        <v>217</v>
      </c>
      <c r="K1195" s="3" t="s">
        <v>219</v>
      </c>
      <c r="L1195" s="12">
        <v>546091</v>
      </c>
      <c r="M1195" s="11">
        <v>2557757</v>
      </c>
    </row>
    <row r="1196" spans="1:13">
      <c r="A1196" s="15">
        <v>46235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7">
        <f>IFERROR(VLOOKUP(F1196,Hoja2!$K$2:$M$1198,2,FALSE),0)</f>
        <v>5001000</v>
      </c>
      <c r="H1196" s="17">
        <f>IFERROR(VLOOKUP(F1196,Hoja2!$K$2:$M$1198,3,FALSE),0)</f>
        <v>20001000</v>
      </c>
      <c r="I1196" s="3" t="s">
        <v>7</v>
      </c>
      <c r="J1196" s="3" t="s">
        <v>217</v>
      </c>
      <c r="K1196" s="3" t="s">
        <v>219</v>
      </c>
      <c r="L1196" s="12">
        <v>865635</v>
      </c>
      <c r="M1196" s="11">
        <v>2630070</v>
      </c>
    </row>
    <row r="1197" spans="1:13">
      <c r="A1197" s="15">
        <v>46235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7">
        <f>IFERROR(VLOOKUP(F1197,Hoja2!$K$2:$M$1198,2,FALSE),0)</f>
        <v>5001000</v>
      </c>
      <c r="H1197" s="17">
        <f>IFERROR(VLOOKUP(F1197,Hoja2!$K$2:$M$1198,3,FALSE),0)</f>
        <v>18001000</v>
      </c>
      <c r="I1197" s="3" t="s">
        <v>7</v>
      </c>
      <c r="J1197" s="3" t="s">
        <v>217</v>
      </c>
      <c r="K1197" s="3" t="s">
        <v>219</v>
      </c>
      <c r="L1197" s="12">
        <v>709864</v>
      </c>
      <c r="M1197" s="11">
        <v>3775712</v>
      </c>
    </row>
    <row r="1198" spans="1:13">
      <c r="A1198" s="15">
        <v>46235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7">
        <f>IFERROR(VLOOKUP(F1198,Hoja2!$K$2:$M$1198,2,FALSE),0)</f>
        <v>5001000</v>
      </c>
      <c r="H1198" s="17">
        <f>IFERROR(VLOOKUP(F1198,Hoja2!$K$2:$M$1198,3,FALSE),0)</f>
        <v>20001000</v>
      </c>
      <c r="I1198" s="3" t="s">
        <v>7</v>
      </c>
      <c r="J1198" s="3" t="s">
        <v>217</v>
      </c>
      <c r="K1198" s="3" t="s">
        <v>219</v>
      </c>
      <c r="L1198" s="12">
        <v>1147506</v>
      </c>
      <c r="M1198" s="11">
        <v>3208581</v>
      </c>
    </row>
    <row r="1199" spans="1:13">
      <c r="A1199" s="15">
        <v>46235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7">
        <f>IFERROR(VLOOKUP(F1199,Hoja2!$K$2:$M$1198,2,FALSE),0)</f>
        <v>5088000</v>
      </c>
      <c r="H1199" s="17">
        <f>IFERROR(VLOOKUP(F1199,Hoja2!$K$2:$M$1198,3,FALSE),0)</f>
        <v>11001000</v>
      </c>
      <c r="I1199" s="3" t="s">
        <v>7</v>
      </c>
      <c r="J1199" s="3" t="s">
        <v>217</v>
      </c>
      <c r="K1199" s="3" t="s">
        <v>219</v>
      </c>
      <c r="L1199" s="12">
        <v>1040850</v>
      </c>
      <c r="M1199" s="11">
        <v>2001314</v>
      </c>
    </row>
    <row r="1200" spans="1:13">
      <c r="A1200" s="15">
        <v>46235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7">
        <f>IFERROR(VLOOKUP(F1200,Hoja2!$K$2:$M$1198,2,FALSE),0)</f>
        <v>5001000</v>
      </c>
      <c r="H1200" s="17">
        <f>IFERROR(VLOOKUP(F1200,Hoja2!$K$2:$M$1198,3,FALSE),0)</f>
        <v>41001000</v>
      </c>
      <c r="I1200" s="3" t="s">
        <v>7</v>
      </c>
      <c r="J1200" s="3" t="s">
        <v>217</v>
      </c>
      <c r="K1200" s="3" t="s">
        <v>219</v>
      </c>
      <c r="L1200" s="12">
        <v>1092420</v>
      </c>
      <c r="M1200" s="11">
        <v>2961717</v>
      </c>
    </row>
    <row r="1201" spans="1:13">
      <c r="A1201" s="15">
        <v>46235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7">
        <f>IFERROR(VLOOKUP(F1201,Hoja2!$K$2:$M$1198,2,FALSE),0)</f>
        <v>5001000</v>
      </c>
      <c r="H1201" s="17">
        <f>IFERROR(VLOOKUP(F1201,Hoja2!$K$2:$M$1198,3,FALSE),0)</f>
        <v>50001000</v>
      </c>
      <c r="I1201" s="3" t="s">
        <v>7</v>
      </c>
      <c r="J1201" s="3" t="s">
        <v>217</v>
      </c>
      <c r="K1201" s="3" t="s">
        <v>219</v>
      </c>
      <c r="L1201" s="12">
        <v>546091</v>
      </c>
      <c r="M1201" s="11">
        <v>2802128</v>
      </c>
    </row>
    <row r="1202" spans="1:13">
      <c r="A1202" s="15">
        <v>46235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7">
        <f>IFERROR(VLOOKUP(F1202,Hoja2!$K$2:$M$1198,2,FALSE),0)</f>
        <v>5088000</v>
      </c>
      <c r="H1202" s="17">
        <f>IFERROR(VLOOKUP(F1202,Hoja2!$K$2:$M$1198,3,FALSE),0)</f>
        <v>11001000</v>
      </c>
      <c r="I1202" s="3" t="s">
        <v>7</v>
      </c>
      <c r="J1202" s="3" t="s">
        <v>217</v>
      </c>
      <c r="K1202" s="3" t="s">
        <v>219</v>
      </c>
      <c r="L1202" s="12">
        <v>509587</v>
      </c>
      <c r="M1202" s="11">
        <v>2510379</v>
      </c>
    </row>
    <row r="1203" spans="1:13">
      <c r="A1203" s="15">
        <v>46235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7">
        <f>IFERROR(VLOOKUP(F1203,Hoja2!$K$2:$M$1198,2,FALSE),0)</f>
        <v>5088000</v>
      </c>
      <c r="H1203" s="17">
        <f>IFERROR(VLOOKUP(F1203,Hoja2!$K$2:$M$1198,3,FALSE),0)</f>
        <v>73001000</v>
      </c>
      <c r="I1203" s="3" t="s">
        <v>7</v>
      </c>
      <c r="J1203" s="3" t="s">
        <v>217</v>
      </c>
      <c r="K1203" s="3" t="s">
        <v>219</v>
      </c>
      <c r="L1203" s="12">
        <v>518840</v>
      </c>
      <c r="M1203" s="11">
        <v>1888896</v>
      </c>
    </row>
    <row r="1204" spans="1:13">
      <c r="A1204" s="15">
        <v>46235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7">
        <f>IFERROR(VLOOKUP(F1204,Hoja2!$K$2:$M$1198,2,FALSE),0)</f>
        <v>5001000</v>
      </c>
      <c r="H1204" s="17">
        <f>IFERROR(VLOOKUP(F1204,Hoja2!$K$2:$M$1198,3,FALSE),0)</f>
        <v>52356000</v>
      </c>
      <c r="I1204" s="3" t="s">
        <v>7</v>
      </c>
      <c r="J1204" s="3" t="s">
        <v>217</v>
      </c>
      <c r="K1204" s="3" t="s">
        <v>219</v>
      </c>
      <c r="L1204" s="12">
        <v>589092</v>
      </c>
      <c r="M1204" s="11">
        <v>3930314</v>
      </c>
    </row>
    <row r="1205" spans="1:13">
      <c r="A1205" s="15">
        <v>46235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7">
        <f>IFERROR(VLOOKUP(F1205,Hoja2!$K$2:$M$1198,2,FALSE),0)</f>
        <v>5088000</v>
      </c>
      <c r="H1205" s="17">
        <f>IFERROR(VLOOKUP(F1205,Hoja2!$K$2:$M$1198,3,FALSE),0)</f>
        <v>5360000</v>
      </c>
      <c r="I1205" s="3" t="s">
        <v>7</v>
      </c>
      <c r="J1205" s="3" t="s">
        <v>217</v>
      </c>
      <c r="K1205" s="3" t="s">
        <v>219</v>
      </c>
      <c r="L1205" s="12">
        <v>544442</v>
      </c>
      <c r="M1205" s="11">
        <v>295763</v>
      </c>
    </row>
    <row r="1206" spans="1:13">
      <c r="A1206" s="15">
        <v>46235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7">
        <f>IFERROR(VLOOKUP(F1206,Hoja2!$K$2:$M$1198,2,FALSE),0)</f>
        <v>5088000</v>
      </c>
      <c r="H1206" s="17">
        <f>IFERROR(VLOOKUP(F1206,Hoja2!$K$2:$M$1198,3,FALSE),0)</f>
        <v>76001000</v>
      </c>
      <c r="I1206" s="3" t="s">
        <v>7</v>
      </c>
      <c r="J1206" s="3" t="s">
        <v>217</v>
      </c>
      <c r="K1206" s="3" t="s">
        <v>219</v>
      </c>
      <c r="L1206" s="12">
        <v>572418</v>
      </c>
      <c r="M1206" s="11">
        <v>2086095</v>
      </c>
    </row>
    <row r="1207" spans="1:13">
      <c r="A1207" s="15">
        <v>46235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7">
        <f>IFERROR(VLOOKUP(F1207,Hoja2!$K$2:$M$1198,2,FALSE),0)</f>
        <v>5088000</v>
      </c>
      <c r="H1207" s="17">
        <f>IFERROR(VLOOKUP(F1207,Hoja2!$K$2:$M$1198,3,FALSE),0)</f>
        <v>11001000</v>
      </c>
      <c r="I1207" s="3" t="s">
        <v>7</v>
      </c>
      <c r="J1207" s="3" t="s">
        <v>217</v>
      </c>
      <c r="K1207" s="3" t="s">
        <v>219</v>
      </c>
      <c r="L1207" s="12">
        <v>1041250</v>
      </c>
      <c r="M1207" s="11">
        <v>1113575</v>
      </c>
    </row>
    <row r="1208" spans="1:13">
      <c r="A1208" s="15">
        <v>46235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7">
        <f>IFERROR(VLOOKUP(F1208,Hoja2!$K$2:$M$1198,2,FALSE),0)</f>
        <v>5088000</v>
      </c>
      <c r="H1208" s="17">
        <f>IFERROR(VLOOKUP(F1208,Hoja2!$K$2:$M$1198,3,FALSE),0)</f>
        <v>11001000</v>
      </c>
      <c r="I1208" s="3" t="s">
        <v>7</v>
      </c>
      <c r="J1208" s="3" t="s">
        <v>217</v>
      </c>
      <c r="K1208" s="3" t="s">
        <v>219</v>
      </c>
      <c r="L1208" s="12">
        <v>1041250</v>
      </c>
      <c r="M1208" s="11">
        <v>1961417</v>
      </c>
    </row>
    <row r="1209" spans="1:13">
      <c r="A1209" s="15">
        <v>46235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7">
        <f>IFERROR(VLOOKUP(F1209,Hoja2!$K$2:$M$1198,2,FALSE),0)</f>
        <v>5088000</v>
      </c>
      <c r="H1209" s="17">
        <f>IFERROR(VLOOKUP(F1209,Hoja2!$K$2:$M$1198,3,FALSE),0)</f>
        <v>25430000</v>
      </c>
      <c r="I1209" s="3" t="s">
        <v>7</v>
      </c>
      <c r="J1209" s="3" t="s">
        <v>217</v>
      </c>
      <c r="K1209" s="3" t="s">
        <v>219</v>
      </c>
      <c r="L1209" s="12">
        <v>518840</v>
      </c>
      <c r="M1209" s="11">
        <v>1879048</v>
      </c>
    </row>
    <row r="1210" spans="1:13">
      <c r="A1210" s="15">
        <v>46235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7">
        <f>IFERROR(VLOOKUP(F1210,Hoja2!$K$2:$M$1198,2,FALSE),0)</f>
        <v>5001000</v>
      </c>
      <c r="H1210" s="17">
        <f>IFERROR(VLOOKUP(F1210,Hoja2!$K$2:$M$1198,3,FALSE),0)</f>
        <v>70001000</v>
      </c>
      <c r="I1210" s="3" t="s">
        <v>7</v>
      </c>
      <c r="J1210" s="3" t="s">
        <v>217</v>
      </c>
      <c r="K1210" s="3" t="s">
        <v>219</v>
      </c>
      <c r="L1210" s="12">
        <v>709864</v>
      </c>
      <c r="M1210" s="11">
        <v>2496833</v>
      </c>
    </row>
    <row r="1211" spans="1:13">
      <c r="A1211" s="15">
        <v>46235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7">
        <f>IFERROR(VLOOKUP(F1211,Hoja2!$K$2:$M$1198,2,FALSE),0)</f>
        <v>5001000</v>
      </c>
      <c r="H1211" s="17">
        <f>IFERROR(VLOOKUP(F1211,Hoja2!$K$2:$M$1198,3,FALSE),0)</f>
        <v>44430000</v>
      </c>
      <c r="I1211" s="3" t="s">
        <v>7</v>
      </c>
      <c r="J1211" s="3" t="s">
        <v>217</v>
      </c>
      <c r="K1211" s="3" t="s">
        <v>219</v>
      </c>
      <c r="L1211" s="12">
        <v>709864</v>
      </c>
      <c r="M1211" s="11">
        <v>4073241</v>
      </c>
    </row>
    <row r="1212" spans="1:13">
      <c r="A1212" s="15">
        <v>46235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7">
        <f>IFERROR(VLOOKUP(F1212,Hoja2!$K$2:$M$1198,2,FALSE),0)</f>
        <v>5088000</v>
      </c>
      <c r="H1212" s="17">
        <f>IFERROR(VLOOKUP(F1212,Hoja2!$K$2:$M$1198,3,FALSE),0)</f>
        <v>17001000</v>
      </c>
      <c r="I1212" s="3" t="s">
        <v>7</v>
      </c>
      <c r="J1212" s="3" t="s">
        <v>217</v>
      </c>
      <c r="K1212" s="3" t="s">
        <v>219</v>
      </c>
      <c r="L1212" s="12">
        <v>806293</v>
      </c>
      <c r="M1212" s="11">
        <v>1083653</v>
      </c>
    </row>
    <row r="1213" spans="1:13">
      <c r="A1213" s="15">
        <v>46235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7">
        <f>IFERROR(VLOOKUP(F1213,Hoja2!$K$2:$M$1198,2,FALSE),0)</f>
        <v>5088000</v>
      </c>
      <c r="H1213" s="17">
        <f>IFERROR(VLOOKUP(F1213,Hoja2!$K$2:$M$1198,3,FALSE),0)</f>
        <v>73001000</v>
      </c>
      <c r="I1213" s="3" t="s">
        <v>7</v>
      </c>
      <c r="J1213" s="3" t="s">
        <v>217</v>
      </c>
      <c r="K1213" s="3" t="s">
        <v>219</v>
      </c>
      <c r="L1213" s="12">
        <v>1151920</v>
      </c>
      <c r="M1213" s="11">
        <v>1602341</v>
      </c>
    </row>
    <row r="1214" spans="1:13">
      <c r="A1214" s="15">
        <v>46235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7">
        <f>IFERROR(VLOOKUP(F1214,Hoja2!$K$2:$M$1198,2,FALSE),0)</f>
        <v>5001000</v>
      </c>
      <c r="H1214" s="17">
        <f>IFERROR(VLOOKUP(F1214,Hoja2!$K$2:$M$1198,3,FALSE),0)</f>
        <v>20001000</v>
      </c>
      <c r="I1214" s="3" t="s">
        <v>7</v>
      </c>
      <c r="J1214" s="3" t="s">
        <v>217</v>
      </c>
      <c r="K1214" s="3" t="s">
        <v>219</v>
      </c>
      <c r="L1214" s="12">
        <v>1177321</v>
      </c>
      <c r="M1214" s="11">
        <v>2103550</v>
      </c>
    </row>
    <row r="1215" spans="1:13">
      <c r="A1215" s="15">
        <v>46235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7">
        <f>IFERROR(VLOOKUP(F1215,Hoja2!$K$2:$M$1198,2,FALSE),0)</f>
        <v>5001000</v>
      </c>
      <c r="H1215" s="17">
        <f>IFERROR(VLOOKUP(F1215,Hoja2!$K$2:$M$1198,3,FALSE),0)</f>
        <v>54001000</v>
      </c>
      <c r="I1215" s="3" t="s">
        <v>7</v>
      </c>
      <c r="J1215" s="3" t="s">
        <v>217</v>
      </c>
      <c r="K1215" s="3" t="s">
        <v>219</v>
      </c>
      <c r="L1215" s="12">
        <v>1054340</v>
      </c>
      <c r="M1215" s="11">
        <v>2211852</v>
      </c>
    </row>
    <row r="1216" spans="1:13">
      <c r="A1216" s="15">
        <v>46235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7">
        <f>IFERROR(VLOOKUP(F1216,Hoja2!$K$2:$M$1198,2,FALSE),0)</f>
        <v>5001000</v>
      </c>
      <c r="H1216" s="17">
        <f>IFERROR(VLOOKUP(F1216,Hoja2!$K$2:$M$1198,3,FALSE),0)</f>
        <v>68001000</v>
      </c>
      <c r="I1216" s="3" t="s">
        <v>7</v>
      </c>
      <c r="J1216" s="3" t="s">
        <v>217</v>
      </c>
      <c r="K1216" s="3" t="s">
        <v>219</v>
      </c>
      <c r="L1216" s="12">
        <v>981863</v>
      </c>
      <c r="M1216" s="11">
        <v>2038717</v>
      </c>
    </row>
    <row r="1217" spans="1:13">
      <c r="A1217" s="15">
        <v>46235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7">
        <f>IFERROR(VLOOKUP(F1217,Hoja2!$K$2:$M$1198,2,FALSE),0)</f>
        <v>5088000</v>
      </c>
      <c r="H1217" s="17">
        <f>IFERROR(VLOOKUP(F1217,Hoja2!$K$2:$M$1198,3,FALSE),0)</f>
        <v>76001000</v>
      </c>
      <c r="I1217" s="3" t="s">
        <v>7</v>
      </c>
      <c r="J1217" s="3" t="s">
        <v>217</v>
      </c>
      <c r="K1217" s="3" t="s">
        <v>219</v>
      </c>
      <c r="L1217" s="12">
        <v>617759</v>
      </c>
      <c r="M1217" s="11">
        <v>2595161</v>
      </c>
    </row>
    <row r="1218" spans="1:13">
      <c r="A1218" s="15">
        <v>46235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7">
        <f>IFERROR(VLOOKUP(F1218,Hoja2!$K$2:$M$1198,2,FALSE),0)</f>
        <v>5088000</v>
      </c>
      <c r="H1218" s="17">
        <f>IFERROR(VLOOKUP(F1218,Hoja2!$K$2:$M$1198,3,FALSE),0)</f>
        <v>5001000</v>
      </c>
      <c r="I1218" s="3" t="s">
        <v>7</v>
      </c>
      <c r="J1218" s="3" t="s">
        <v>217</v>
      </c>
      <c r="K1218" s="3" t="s">
        <v>219</v>
      </c>
      <c r="L1218" s="12">
        <v>865635</v>
      </c>
      <c r="M1218" s="11">
        <v>991299</v>
      </c>
    </row>
    <row r="1219" spans="1:13">
      <c r="A1219" s="15">
        <v>46235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7">
        <f>IFERROR(VLOOKUP(F1219,Hoja2!$K$2:$M$1198,2,FALSE),0)</f>
        <v>5088000</v>
      </c>
      <c r="H1219" s="17">
        <f>IFERROR(VLOOKUP(F1219,Hoja2!$K$2:$M$1198,3,FALSE),0)</f>
        <v>73001000</v>
      </c>
      <c r="I1219" s="3" t="s">
        <v>7</v>
      </c>
      <c r="J1219" s="3" t="s">
        <v>217</v>
      </c>
      <c r="K1219" s="3" t="s">
        <v>219</v>
      </c>
      <c r="L1219" s="12">
        <v>520030</v>
      </c>
      <c r="M1219" s="11">
        <v>1936481</v>
      </c>
    </row>
    <row r="1220" spans="1:13">
      <c r="A1220" s="15">
        <v>46235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7">
        <f>IFERROR(VLOOKUP(F1220,Hoja2!$K$2:$M$1198,2,FALSE),0)</f>
        <v>5088000</v>
      </c>
      <c r="H1220" s="17">
        <f>IFERROR(VLOOKUP(F1220,Hoja2!$K$2:$M$1198,3,FALSE),0)</f>
        <v>47001000</v>
      </c>
      <c r="I1220" s="3" t="s">
        <v>7</v>
      </c>
      <c r="J1220" s="3" t="s">
        <v>217</v>
      </c>
      <c r="K1220" s="3" t="s">
        <v>219</v>
      </c>
      <c r="L1220" s="12">
        <v>672775</v>
      </c>
      <c r="M1220" s="11">
        <v>4229543</v>
      </c>
    </row>
    <row r="1221" spans="1:13">
      <c r="A1221" s="15">
        <v>46235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7">
        <f>IFERROR(VLOOKUP(F1221,Hoja2!$K$2:$M$1198,2,FALSE),0)</f>
        <v>5088000</v>
      </c>
      <c r="H1221" s="17">
        <f>IFERROR(VLOOKUP(F1221,Hoja2!$K$2:$M$1198,3,FALSE),0)</f>
        <v>5615000</v>
      </c>
      <c r="I1221" s="3" t="s">
        <v>7</v>
      </c>
      <c r="J1221" s="3" t="s">
        <v>217</v>
      </c>
      <c r="K1221" s="3" t="s">
        <v>219</v>
      </c>
      <c r="L1221" s="12">
        <v>487525</v>
      </c>
      <c r="M1221" s="11">
        <v>599006</v>
      </c>
    </row>
    <row r="1222" spans="1:13">
      <c r="A1222" s="15">
        <v>46235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7">
        <f>IFERROR(VLOOKUP(F1222,Hoja2!$K$2:$M$1198,2,FALSE),0)</f>
        <v>5088000</v>
      </c>
      <c r="H1222" s="17">
        <f>IFERROR(VLOOKUP(F1222,Hoja2!$K$2:$M$1198,3,FALSE),0)</f>
        <v>73001000</v>
      </c>
      <c r="I1222" s="3" t="s">
        <v>7</v>
      </c>
      <c r="J1222" s="3" t="s">
        <v>217</v>
      </c>
      <c r="K1222" s="3" t="s">
        <v>219</v>
      </c>
      <c r="L1222" s="12">
        <v>1041250</v>
      </c>
      <c r="M1222" s="11">
        <v>2003807</v>
      </c>
    </row>
    <row r="1223" spans="1:13">
      <c r="A1223" s="15">
        <v>46235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7">
        <f>IFERROR(VLOOKUP(F1223,Hoja2!$K$2:$M$1198,2,FALSE),0)</f>
        <v>0</v>
      </c>
      <c r="H1223" s="17">
        <f>IFERROR(VLOOKUP(F1223,Hoja2!$K$2:$M$1198,3,FALSE),0)</f>
        <v>0</v>
      </c>
      <c r="I1223" s="3" t="s">
        <v>7</v>
      </c>
      <c r="J1223" s="3" t="s">
        <v>217</v>
      </c>
      <c r="K1223" s="3" t="s">
        <v>219</v>
      </c>
      <c r="L1223" s="12">
        <v>479498</v>
      </c>
      <c r="M1223" s="11">
        <v>2871790</v>
      </c>
    </row>
    <row r="1224" spans="1:13">
      <c r="A1224" s="15">
        <v>46235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7">
        <f>IFERROR(VLOOKUP(F1224,Hoja2!$K$2:$M$1198,2,FALSE),0)</f>
        <v>5088000</v>
      </c>
      <c r="H1224" s="17">
        <f>IFERROR(VLOOKUP(F1224,Hoja2!$K$2:$M$1198,3,FALSE),0)</f>
        <v>5001000</v>
      </c>
      <c r="I1224" s="3" t="s">
        <v>7</v>
      </c>
      <c r="J1224" s="3" t="s">
        <v>217</v>
      </c>
      <c r="K1224" s="3" t="s">
        <v>219</v>
      </c>
      <c r="L1224" s="12">
        <v>602055</v>
      </c>
      <c r="M1224" s="11">
        <v>564777</v>
      </c>
    </row>
    <row r="1225" spans="1:13">
      <c r="A1225" s="15">
        <v>46235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7">
        <f>IFERROR(VLOOKUP(F1225,Hoja2!$K$2:$M$1198,2,FALSE),0)</f>
        <v>5088000</v>
      </c>
      <c r="H1225" s="17">
        <f>IFERROR(VLOOKUP(F1225,Hoja2!$K$2:$M$1198,3,FALSE),0)</f>
        <v>47001000</v>
      </c>
      <c r="I1225" s="3" t="s">
        <v>7</v>
      </c>
      <c r="J1225" s="3" t="s">
        <v>217</v>
      </c>
      <c r="K1225" s="3" t="s">
        <v>219</v>
      </c>
      <c r="L1225" s="12">
        <v>518840</v>
      </c>
      <c r="M1225" s="11">
        <v>4008080</v>
      </c>
    </row>
    <row r="1226" spans="1:13">
      <c r="A1226" s="15">
        <v>46235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7">
        <f>IFERROR(VLOOKUP(F1226,Hoja2!$K$2:$M$1198,2,FALSE),0)</f>
        <v>5001000</v>
      </c>
      <c r="H1226" s="17">
        <f>IFERROR(VLOOKUP(F1226,Hoja2!$K$2:$M$1198,3,FALSE),0)</f>
        <v>70001000</v>
      </c>
      <c r="I1226" s="3" t="s">
        <v>7</v>
      </c>
      <c r="J1226" s="3" t="s">
        <v>217</v>
      </c>
      <c r="K1226" s="3" t="s">
        <v>219</v>
      </c>
      <c r="L1226" s="12">
        <v>781711</v>
      </c>
      <c r="M1226" s="11">
        <v>2027880</v>
      </c>
    </row>
    <row r="1227" spans="1:13">
      <c r="A1227" s="15">
        <v>46235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7">
        <f>IFERROR(VLOOKUP(F1227,Hoja2!$K$2:$M$1198,2,FALSE),0)</f>
        <v>5001000</v>
      </c>
      <c r="H1227" s="17">
        <f>IFERROR(VLOOKUP(F1227,Hoja2!$K$2:$M$1198,3,FALSE),0)</f>
        <v>52835000</v>
      </c>
      <c r="I1227" s="3" t="s">
        <v>7</v>
      </c>
      <c r="J1227" s="3" t="s">
        <v>217</v>
      </c>
      <c r="K1227" s="3" t="s">
        <v>219</v>
      </c>
      <c r="L1227" s="12">
        <v>643105</v>
      </c>
      <c r="M1227" s="11">
        <v>4509901</v>
      </c>
    </row>
    <row r="1228" spans="1:13">
      <c r="A1228" s="15">
        <v>46235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7">
        <f>IFERROR(VLOOKUP(F1228,Hoja2!$K$2:$M$1198,2,FALSE),0)</f>
        <v>5001000</v>
      </c>
      <c r="H1228" s="17">
        <f>IFERROR(VLOOKUP(F1228,Hoja2!$K$2:$M$1198,3,FALSE),0)</f>
        <v>15001000</v>
      </c>
      <c r="I1228" s="3" t="s">
        <v>7</v>
      </c>
      <c r="J1228" s="3" t="s">
        <v>217</v>
      </c>
      <c r="K1228" s="3" t="s">
        <v>219</v>
      </c>
      <c r="L1228" s="12">
        <v>517650</v>
      </c>
      <c r="M1228" s="11">
        <v>2634335</v>
      </c>
    </row>
    <row r="1229" spans="1:13">
      <c r="A1229" s="15">
        <v>46235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7">
        <f>IFERROR(VLOOKUP(F1229,Hoja2!$K$2:$M$1198,2,FALSE),0)</f>
        <v>5088000</v>
      </c>
      <c r="H1229" s="17">
        <f>IFERROR(VLOOKUP(F1229,Hoja2!$K$2:$M$1198,3,FALSE),0)</f>
        <v>11001000</v>
      </c>
      <c r="I1229" s="3" t="s">
        <v>7</v>
      </c>
      <c r="J1229" s="3" t="s">
        <v>217</v>
      </c>
      <c r="K1229" s="3" t="s">
        <v>219</v>
      </c>
      <c r="L1229" s="12">
        <v>1041250</v>
      </c>
      <c r="M1229" s="11">
        <v>1699591</v>
      </c>
    </row>
    <row r="1230" spans="1:13">
      <c r="A1230" s="15">
        <v>46235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7">
        <f>IFERROR(VLOOKUP(F1230,Hoja2!$K$2:$M$1198,2,FALSE),0)</f>
        <v>5001000</v>
      </c>
      <c r="H1230" s="17">
        <f>IFERROR(VLOOKUP(F1230,Hoja2!$K$2:$M$1198,3,FALSE),0)</f>
        <v>85001000</v>
      </c>
      <c r="I1230" s="3" t="s">
        <v>7</v>
      </c>
      <c r="J1230" s="3" t="s">
        <v>217</v>
      </c>
      <c r="K1230" s="3" t="s">
        <v>219</v>
      </c>
      <c r="L1230" s="12">
        <v>560286</v>
      </c>
      <c r="M1230" s="11">
        <v>3745249</v>
      </c>
    </row>
    <row r="1231" spans="1:13">
      <c r="A1231" s="15">
        <v>46235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7">
        <f>IFERROR(VLOOKUP(F1231,Hoja2!$K$2:$M$1198,2,FALSE),0)</f>
        <v>5088000</v>
      </c>
      <c r="H1231" s="17">
        <f>IFERROR(VLOOKUP(F1231,Hoja2!$K$2:$M$1198,3,FALSE),0)</f>
        <v>76001000</v>
      </c>
      <c r="I1231" s="3" t="s">
        <v>7</v>
      </c>
      <c r="J1231" s="3" t="s">
        <v>217</v>
      </c>
      <c r="K1231" s="3" t="s">
        <v>219</v>
      </c>
      <c r="L1231" s="12">
        <v>509587</v>
      </c>
      <c r="M1231" s="11">
        <v>1582392</v>
      </c>
    </row>
    <row r="1232" spans="1:13">
      <c r="A1232" s="15">
        <v>46235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7">
        <f>IFERROR(VLOOKUP(F1232,Hoja2!$K$2:$M$1198,2,FALSE),0)</f>
        <v>5088000</v>
      </c>
      <c r="H1232" s="17">
        <f>IFERROR(VLOOKUP(F1232,Hoja2!$K$2:$M$1198,3,FALSE),0)</f>
        <v>11001000</v>
      </c>
      <c r="I1232" s="3" t="s">
        <v>7</v>
      </c>
      <c r="J1232" s="3" t="s">
        <v>217</v>
      </c>
      <c r="K1232" s="3" t="s">
        <v>219</v>
      </c>
      <c r="L1232" s="12">
        <v>509587</v>
      </c>
      <c r="M1232" s="11">
        <v>1966403</v>
      </c>
    </row>
    <row r="1233" spans="1:13">
      <c r="A1233" s="15">
        <v>46235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7">
        <f>IFERROR(VLOOKUP(F1233,Hoja2!$K$2:$M$1198,2,FALSE),0)</f>
        <v>0</v>
      </c>
      <c r="H1233" s="17">
        <f>IFERROR(VLOOKUP(F1233,Hoja2!$K$2:$M$1198,3,FALSE),0)</f>
        <v>0</v>
      </c>
      <c r="I1233" s="3" t="s">
        <v>7</v>
      </c>
      <c r="J1233" s="3" t="s">
        <v>217</v>
      </c>
      <c r="K1233" s="3" t="s">
        <v>219</v>
      </c>
      <c r="L1233" s="12">
        <v>527170</v>
      </c>
      <c r="M1233" s="11">
        <v>2592411</v>
      </c>
    </row>
    <row r="1234" spans="1:13">
      <c r="A1234" s="15">
        <v>46235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7">
        <f>IFERROR(VLOOKUP(F1234,Hoja2!$K$2:$M$1198,2,FALSE),0)</f>
        <v>5088000</v>
      </c>
      <c r="H1234" s="17">
        <f>IFERROR(VLOOKUP(F1234,Hoja2!$K$2:$M$1198,3,FALSE),0)</f>
        <v>11001000</v>
      </c>
      <c r="I1234" s="3" t="s">
        <v>7</v>
      </c>
      <c r="J1234" s="3" t="s">
        <v>217</v>
      </c>
      <c r="K1234" s="3" t="s">
        <v>219</v>
      </c>
      <c r="L1234" s="12">
        <v>544667</v>
      </c>
      <c r="M1234" s="11">
        <v>1929312</v>
      </c>
    </row>
    <row r="1235" spans="1:13">
      <c r="A1235" s="15">
        <v>46235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7">
        <f>IFERROR(VLOOKUP(F1235,Hoja2!$K$2:$M$1198,2,FALSE),0)</f>
        <v>5088000</v>
      </c>
      <c r="H1235" s="17">
        <f>IFERROR(VLOOKUP(F1235,Hoja2!$K$2:$M$1198,3,FALSE),0)</f>
        <v>11001000</v>
      </c>
      <c r="I1235" s="3" t="s">
        <v>7</v>
      </c>
      <c r="J1235" s="3" t="s">
        <v>217</v>
      </c>
      <c r="K1235" s="3" t="s">
        <v>219</v>
      </c>
      <c r="L1235" s="12">
        <v>544667</v>
      </c>
      <c r="M1235" s="11">
        <v>1934785</v>
      </c>
    </row>
    <row r="1236" spans="1:13">
      <c r="A1236" s="15">
        <v>46235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7">
        <f>IFERROR(VLOOKUP(F1236,Hoja2!$K$2:$M$1198,2,FALSE),0)</f>
        <v>5001000</v>
      </c>
      <c r="H1236" s="17">
        <f>IFERROR(VLOOKUP(F1236,Hoja2!$K$2:$M$1198,3,FALSE),0)</f>
        <v>68081000</v>
      </c>
      <c r="I1236" s="3" t="s">
        <v>7</v>
      </c>
      <c r="J1236" s="3" t="s">
        <v>217</v>
      </c>
      <c r="K1236" s="3" t="s">
        <v>219</v>
      </c>
      <c r="L1236" s="12">
        <v>682789</v>
      </c>
      <c r="M1236" s="11">
        <v>1652552</v>
      </c>
    </row>
    <row r="1237" spans="1:13">
      <c r="A1237" s="15">
        <v>46235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7">
        <f>IFERROR(VLOOKUP(F1237,Hoja2!$K$2:$M$1198,2,FALSE),0)</f>
        <v>5088000</v>
      </c>
      <c r="H1237" s="17">
        <f>IFERROR(VLOOKUP(F1237,Hoja2!$K$2:$M$1198,3,FALSE),0)</f>
        <v>11001000</v>
      </c>
      <c r="I1237" s="3" t="s">
        <v>7</v>
      </c>
      <c r="J1237" s="3" t="s">
        <v>217</v>
      </c>
      <c r="K1237" s="3" t="s">
        <v>219</v>
      </c>
      <c r="L1237" s="12">
        <v>544667</v>
      </c>
      <c r="M1237" s="11">
        <v>1929000</v>
      </c>
    </row>
    <row r="1238" spans="1:13">
      <c r="A1238" s="15">
        <v>46235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7">
        <f>IFERROR(VLOOKUP(F1238,Hoja2!$K$2:$M$1198,2,FALSE),0)</f>
        <v>5001000</v>
      </c>
      <c r="H1238" s="17">
        <f>IFERROR(VLOOKUP(F1238,Hoja2!$K$2:$M$1198,3,FALSE),0)</f>
        <v>54001000</v>
      </c>
      <c r="I1238" s="3" t="s">
        <v>7</v>
      </c>
      <c r="J1238" s="3" t="s">
        <v>217</v>
      </c>
      <c r="K1238" s="3" t="s">
        <v>219</v>
      </c>
      <c r="L1238" s="12">
        <v>547323</v>
      </c>
      <c r="M1238" s="11">
        <v>2669968</v>
      </c>
    </row>
    <row r="1239" spans="1:13">
      <c r="A1239" s="15">
        <v>46235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7">
        <f>IFERROR(VLOOKUP(F1239,Hoja2!$K$2:$M$1198,2,FALSE),0)</f>
        <v>5088000</v>
      </c>
      <c r="H1239" s="17">
        <f>IFERROR(VLOOKUP(F1239,Hoja2!$K$2:$M$1198,3,FALSE),0)</f>
        <v>11001000</v>
      </c>
      <c r="I1239" s="3" t="s">
        <v>7</v>
      </c>
      <c r="J1239" s="3" t="s">
        <v>217</v>
      </c>
      <c r="K1239" s="3" t="s">
        <v>219</v>
      </c>
      <c r="L1239" s="12">
        <v>494751</v>
      </c>
      <c r="M1239" s="11">
        <v>2697398</v>
      </c>
    </row>
    <row r="1240" spans="1:13">
      <c r="A1240" s="15">
        <v>46235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7">
        <f>IFERROR(VLOOKUP(F1240,Hoja2!$K$2:$M$1198,2,FALSE),0)</f>
        <v>5001000</v>
      </c>
      <c r="H1240" s="17">
        <f>IFERROR(VLOOKUP(F1240,Hoja2!$K$2:$M$1198,3,FALSE),0)</f>
        <v>23001000</v>
      </c>
      <c r="I1240" s="3" t="s">
        <v>7</v>
      </c>
      <c r="J1240" s="3" t="s">
        <v>217</v>
      </c>
      <c r="K1240" s="3" t="s">
        <v>219</v>
      </c>
      <c r="L1240" s="12">
        <v>534310</v>
      </c>
      <c r="M1240" s="11">
        <v>1880196</v>
      </c>
    </row>
    <row r="1241" spans="1:13">
      <c r="A1241" s="15">
        <v>46235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7">
        <f>IFERROR(VLOOKUP(F1241,Hoja2!$K$2:$M$1198,2,FALSE),0)</f>
        <v>5001000</v>
      </c>
      <c r="H1241" s="17">
        <f>IFERROR(VLOOKUP(F1241,Hoja2!$K$2:$M$1198,3,FALSE),0)</f>
        <v>41001000</v>
      </c>
      <c r="I1241" s="3" t="s">
        <v>7</v>
      </c>
      <c r="J1241" s="3" t="s">
        <v>217</v>
      </c>
      <c r="K1241" s="3" t="s">
        <v>219</v>
      </c>
      <c r="L1241" s="12">
        <v>616420</v>
      </c>
      <c r="M1241" s="11">
        <v>2616004</v>
      </c>
    </row>
    <row r="1242" spans="1:13">
      <c r="A1242" s="15">
        <v>46235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7">
        <f>IFERROR(VLOOKUP(F1242,Hoja2!$K$2:$M$1198,2,FALSE),0)</f>
        <v>5001000</v>
      </c>
      <c r="H1242" s="17">
        <f>IFERROR(VLOOKUP(F1242,Hoja2!$K$2:$M$1198,3,FALSE),0)</f>
        <v>52001000</v>
      </c>
      <c r="I1242" s="3" t="s">
        <v>7</v>
      </c>
      <c r="J1242" s="3" t="s">
        <v>217</v>
      </c>
      <c r="K1242" s="3" t="s">
        <v>219</v>
      </c>
      <c r="L1242" s="12">
        <v>632092</v>
      </c>
      <c r="M1242" s="11">
        <v>3745789</v>
      </c>
    </row>
    <row r="1243" spans="1:13">
      <c r="A1243" s="15">
        <v>46235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7">
        <f>IFERROR(VLOOKUP(F1243,Hoja2!$K$2:$M$1198,2,FALSE),0)</f>
        <v>5001000</v>
      </c>
      <c r="H1243" s="17">
        <f>IFERROR(VLOOKUP(F1243,Hoja2!$K$2:$M$1198,3,FALSE),0)</f>
        <v>68547000</v>
      </c>
      <c r="I1243" s="3" t="s">
        <v>7</v>
      </c>
      <c r="J1243" s="3" t="s">
        <v>217</v>
      </c>
      <c r="K1243" s="3" t="s">
        <v>219</v>
      </c>
      <c r="L1243" s="12">
        <v>518840</v>
      </c>
      <c r="M1243" s="11">
        <v>1948927</v>
      </c>
    </row>
    <row r="1244" spans="1:13">
      <c r="A1244" s="15">
        <v>46235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7">
        <f>IFERROR(VLOOKUP(F1244,Hoja2!$K$2:$M$1198,2,FALSE),0)</f>
        <v>5001000</v>
      </c>
      <c r="H1244" s="17">
        <f>IFERROR(VLOOKUP(F1244,Hoja2!$K$2:$M$1198,3,FALSE),0)</f>
        <v>20001000</v>
      </c>
      <c r="I1244" s="3" t="s">
        <v>7</v>
      </c>
      <c r="J1244" s="3" t="s">
        <v>217</v>
      </c>
      <c r="K1244" s="3" t="s">
        <v>219</v>
      </c>
      <c r="L1244" s="12">
        <v>546876</v>
      </c>
      <c r="M1244" s="11">
        <v>3034030</v>
      </c>
    </row>
    <row r="1245" spans="1:13">
      <c r="A1245" s="15">
        <v>46235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7">
        <f>IFERROR(VLOOKUP(F1245,Hoja2!$K$2:$M$1198,2,FALSE),0)</f>
        <v>5001000</v>
      </c>
      <c r="H1245" s="17">
        <f>IFERROR(VLOOKUP(F1245,Hoja2!$K$2:$M$1198,3,FALSE),0)</f>
        <v>50001000</v>
      </c>
      <c r="I1245" s="3" t="s">
        <v>7</v>
      </c>
      <c r="J1245" s="3" t="s">
        <v>217</v>
      </c>
      <c r="K1245" s="3" t="s">
        <v>219</v>
      </c>
      <c r="L1245" s="12">
        <v>617899</v>
      </c>
      <c r="M1245" s="11">
        <v>2526565</v>
      </c>
    </row>
    <row r="1246" spans="1:13">
      <c r="A1246" s="15">
        <v>46235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7">
        <f>IFERROR(VLOOKUP(F1246,Hoja2!$K$2:$M$1198,2,FALSE),0)</f>
        <v>0</v>
      </c>
      <c r="H1246" s="17">
        <f>IFERROR(VLOOKUP(F1246,Hoja2!$K$2:$M$1198,3,FALSE),0)</f>
        <v>0</v>
      </c>
      <c r="I1246" s="3" t="s">
        <v>7</v>
      </c>
      <c r="J1246" s="3" t="s">
        <v>217</v>
      </c>
      <c r="K1246" s="3" t="s">
        <v>219</v>
      </c>
      <c r="L1246" s="12">
        <v>497406</v>
      </c>
      <c r="M1246" s="11">
        <v>1953936</v>
      </c>
    </row>
    <row r="1247" spans="1:13">
      <c r="A1247" s="15">
        <v>46235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7">
        <f>IFERROR(VLOOKUP(F1247,Hoja2!$K$2:$M$1198,2,FALSE),0)</f>
        <v>5001000</v>
      </c>
      <c r="H1247" s="17">
        <f>IFERROR(VLOOKUP(F1247,Hoja2!$K$2:$M$1198,3,FALSE),0)</f>
        <v>66170000</v>
      </c>
      <c r="I1247" s="3" t="s">
        <v>7</v>
      </c>
      <c r="J1247" s="3" t="s">
        <v>217</v>
      </c>
      <c r="K1247" s="3" t="s">
        <v>219</v>
      </c>
      <c r="L1247" s="12">
        <v>619420</v>
      </c>
      <c r="M1247" s="11">
        <v>1136202</v>
      </c>
    </row>
    <row r="1248" spans="1:13">
      <c r="A1248" s="15">
        <v>46235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7">
        <f>IFERROR(VLOOKUP(F1248,Hoja2!$K$2:$M$1198,2,FALSE),0)</f>
        <v>5088000</v>
      </c>
      <c r="H1248" s="17">
        <f>IFERROR(VLOOKUP(F1248,Hoja2!$K$2:$M$1198,3,FALSE),0)</f>
        <v>8433000</v>
      </c>
      <c r="I1248" s="3" t="s">
        <v>7</v>
      </c>
      <c r="J1248" s="3" t="s">
        <v>217</v>
      </c>
      <c r="K1248" s="3" t="s">
        <v>219</v>
      </c>
      <c r="L1248" s="12">
        <v>518840</v>
      </c>
      <c r="M1248" s="11">
        <v>2926807</v>
      </c>
    </row>
    <row r="1249" spans="1:13">
      <c r="A1249" s="15">
        <v>46235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7">
        <f>IFERROR(VLOOKUP(F1249,Hoja2!$K$2:$M$1198,2,FALSE),0)</f>
        <v>5001000</v>
      </c>
      <c r="H1249" s="17">
        <f>IFERROR(VLOOKUP(F1249,Hoja2!$K$2:$M$1198,3,FALSE),0)</f>
        <v>66001000</v>
      </c>
      <c r="I1249" s="3" t="s">
        <v>7</v>
      </c>
      <c r="J1249" s="3" t="s">
        <v>217</v>
      </c>
      <c r="K1249" s="3" t="s">
        <v>219</v>
      </c>
      <c r="L1249" s="12">
        <v>619420</v>
      </c>
      <c r="M1249" s="11">
        <v>1141897</v>
      </c>
    </row>
    <row r="1250" spans="1:13">
      <c r="A1250" s="15">
        <v>46235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7">
        <f>IFERROR(VLOOKUP(F1250,Hoja2!$K$2:$M$1198,2,FALSE),0)</f>
        <v>5088000</v>
      </c>
      <c r="H1250" s="17">
        <f>IFERROR(VLOOKUP(F1250,Hoja2!$K$2:$M$1198,3,FALSE),0)</f>
        <v>76892000</v>
      </c>
      <c r="I1250" s="3" t="s">
        <v>7</v>
      </c>
      <c r="J1250" s="3" t="s">
        <v>217</v>
      </c>
      <c r="K1250" s="3" t="s">
        <v>219</v>
      </c>
      <c r="L1250" s="12">
        <v>518840</v>
      </c>
      <c r="M1250" s="11">
        <v>1904064</v>
      </c>
    </row>
    <row r="1251" spans="1:13">
      <c r="A1251" s="15">
        <v>46235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7">
        <f>IFERROR(VLOOKUP(F1251,Hoja2!$K$2:$M$1198,2,FALSE),0)</f>
        <v>5088000</v>
      </c>
      <c r="H1251" s="17">
        <f>IFERROR(VLOOKUP(F1251,Hoja2!$K$2:$M$1198,3,FALSE),0)</f>
        <v>5001000</v>
      </c>
      <c r="I1251" s="3" t="s">
        <v>7</v>
      </c>
      <c r="J1251" s="3" t="s">
        <v>217</v>
      </c>
      <c r="K1251" s="3" t="s">
        <v>219</v>
      </c>
      <c r="L1251" s="12">
        <v>518840</v>
      </c>
      <c r="M1251" s="11">
        <v>278307</v>
      </c>
    </row>
    <row r="1252" spans="1:13">
      <c r="A1252" s="15">
        <v>46235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7">
        <f>IFERROR(VLOOKUP(F1252,Hoja2!$K$2:$M$1198,2,FALSE),0)</f>
        <v>76111000</v>
      </c>
      <c r="H1252" s="17">
        <f>IFERROR(VLOOKUP(F1252,Hoja2!$K$2:$M$1198,3,FALSE),0)</f>
        <v>5088000</v>
      </c>
      <c r="I1252" s="3" t="s">
        <v>7</v>
      </c>
      <c r="J1252" s="3" t="s">
        <v>217</v>
      </c>
      <c r="K1252" s="3" t="s">
        <v>219</v>
      </c>
      <c r="L1252" s="12">
        <v>694139</v>
      </c>
      <c r="M1252" s="11">
        <v>1819283</v>
      </c>
    </row>
    <row r="1253" spans="1:13">
      <c r="A1253" s="15">
        <v>46235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7">
        <f>IFERROR(VLOOKUP(F1253,Hoja2!$K$2:$M$1198,2,FALSE),0)</f>
        <v>13001000</v>
      </c>
      <c r="H1253" s="17">
        <f>IFERROR(VLOOKUP(F1253,Hoja2!$K$2:$M$1198,3,FALSE),0)</f>
        <v>5088000</v>
      </c>
      <c r="I1253" s="3" t="s">
        <v>7</v>
      </c>
      <c r="J1253" s="3" t="s">
        <v>217</v>
      </c>
      <c r="K1253" s="3" t="s">
        <v>219</v>
      </c>
      <c r="L1253" s="12">
        <v>598599</v>
      </c>
      <c r="M1253" s="11">
        <v>2966703</v>
      </c>
    </row>
    <row r="1254" spans="1:13">
      <c r="A1254" s="15">
        <v>46235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7">
        <f>IFERROR(VLOOKUP(F1254,Hoja2!$K$2:$M$1198,2,FALSE),0)</f>
        <v>5172000</v>
      </c>
      <c r="H1254" s="17">
        <f>IFERROR(VLOOKUP(F1254,Hoja2!$K$2:$M$1198,3,FALSE),0)</f>
        <v>5001000</v>
      </c>
      <c r="I1254" s="3" t="s">
        <v>7</v>
      </c>
      <c r="J1254" s="3" t="s">
        <v>217</v>
      </c>
      <c r="K1254" s="3" t="s">
        <v>219</v>
      </c>
      <c r="L1254" s="12">
        <v>643105</v>
      </c>
      <c r="M1254" s="11">
        <v>1559950</v>
      </c>
    </row>
    <row r="1255" spans="1:13">
      <c r="A1255" s="15">
        <v>46235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7">
        <f>IFERROR(VLOOKUP(F1255,Hoja2!$K$2:$M$1198,2,FALSE),0)</f>
        <v>17001000</v>
      </c>
      <c r="H1255" s="17">
        <f>IFERROR(VLOOKUP(F1255,Hoja2!$K$2:$M$1198,3,FALSE),0)</f>
        <v>5088000</v>
      </c>
      <c r="I1255" s="3" t="s">
        <v>7</v>
      </c>
      <c r="J1255" s="3" t="s">
        <v>217</v>
      </c>
      <c r="K1255" s="3" t="s">
        <v>219</v>
      </c>
      <c r="L1255" s="12">
        <v>806293</v>
      </c>
      <c r="M1255" s="11">
        <v>1111082</v>
      </c>
    </row>
    <row r="1256" spans="1:13">
      <c r="A1256" s="15">
        <v>46235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7">
        <f>IFERROR(VLOOKUP(F1256,Hoja2!$K$2:$M$1198,2,FALSE),0)</f>
        <v>5615000</v>
      </c>
      <c r="H1256" s="17">
        <f>IFERROR(VLOOKUP(F1256,Hoja2!$K$2:$M$1198,3,FALSE),0)</f>
        <v>5088000</v>
      </c>
      <c r="I1256" s="3" t="s">
        <v>7</v>
      </c>
      <c r="J1256" s="3" t="s">
        <v>217</v>
      </c>
      <c r="K1256" s="3" t="s">
        <v>219</v>
      </c>
      <c r="L1256" s="12">
        <v>487525</v>
      </c>
      <c r="M1256" s="11">
        <v>622341</v>
      </c>
    </row>
    <row r="1257" spans="1:13">
      <c r="A1257" s="15">
        <v>46235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7">
        <f>IFERROR(VLOOKUP(F1257,Hoja2!$K$2:$M$1198,2,FALSE),0)</f>
        <v>5042000</v>
      </c>
      <c r="H1257" s="17">
        <f>IFERROR(VLOOKUP(F1257,Hoja2!$K$2:$M$1198,3,FALSE),0)</f>
        <v>5001000</v>
      </c>
      <c r="I1257" s="3" t="s">
        <v>7</v>
      </c>
      <c r="J1257" s="3" t="s">
        <v>217</v>
      </c>
      <c r="K1257" s="3" t="s">
        <v>219</v>
      </c>
      <c r="L1257" s="12">
        <v>602055</v>
      </c>
      <c r="M1257" s="11">
        <v>647277</v>
      </c>
    </row>
    <row r="1258" spans="1:13">
      <c r="A1258" s="15">
        <v>46235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7">
        <f>IFERROR(VLOOKUP(F1258,Hoja2!$K$2:$M$1198,2,FALSE),0)</f>
        <v>11001000</v>
      </c>
      <c r="H1258" s="17">
        <f>IFERROR(VLOOKUP(F1258,Hoja2!$K$2:$M$1198,3,FALSE),0)</f>
        <v>5088000</v>
      </c>
      <c r="I1258" s="3" t="s">
        <v>7</v>
      </c>
      <c r="J1258" s="3" t="s">
        <v>217</v>
      </c>
      <c r="K1258" s="3" t="s">
        <v>219</v>
      </c>
      <c r="L1258" s="12">
        <v>544667</v>
      </c>
      <c r="M1258" s="11">
        <v>1948949</v>
      </c>
    </row>
    <row r="1259" spans="1:13">
      <c r="A1259" s="15">
        <v>46235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7">
        <f>IFERROR(VLOOKUP(F1259,Hoja2!$K$2:$M$1198,2,FALSE),0)</f>
        <v>68547000</v>
      </c>
      <c r="H1259" s="17">
        <f>IFERROR(VLOOKUP(F1259,Hoja2!$K$2:$M$1198,3,FALSE),0)</f>
        <v>5001000</v>
      </c>
      <c r="I1259" s="3" t="s">
        <v>7</v>
      </c>
      <c r="J1259" s="3" t="s">
        <v>217</v>
      </c>
      <c r="K1259" s="3" t="s">
        <v>219</v>
      </c>
      <c r="L1259" s="12">
        <v>518840</v>
      </c>
      <c r="M1259" s="11">
        <v>1962494</v>
      </c>
    </row>
    <row r="1260" spans="1:13">
      <c r="A1260" s="15">
        <v>46235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7">
        <f>IFERROR(VLOOKUP(F1260,Hoja2!$K$2:$M$1198,2,FALSE),0)</f>
        <v>0</v>
      </c>
      <c r="H1260" s="17">
        <f>IFERROR(VLOOKUP(F1260,Hoja2!$K$2:$M$1198,3,FALSE),0)</f>
        <v>0</v>
      </c>
      <c r="I1260" s="3" t="s">
        <v>7</v>
      </c>
      <c r="J1260" s="3" t="s">
        <v>217</v>
      </c>
      <c r="K1260" s="3" t="s">
        <v>219</v>
      </c>
      <c r="L1260" s="12">
        <v>497406</v>
      </c>
      <c r="M1260" s="11">
        <v>1968897</v>
      </c>
    </row>
    <row r="1261" spans="1:13">
      <c r="A1261" s="15">
        <v>46235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7">
        <f>IFERROR(VLOOKUP(F1261,Hoja2!$K$2:$M$1198,2,FALSE),0)</f>
        <v>0</v>
      </c>
      <c r="H1261" s="17">
        <f>IFERROR(VLOOKUP(F1261,Hoja2!$K$2:$M$1198,3,FALSE),0)</f>
        <v>0</v>
      </c>
      <c r="I1261" s="3" t="s">
        <v>7</v>
      </c>
      <c r="J1261" s="3" t="s">
        <v>217</v>
      </c>
      <c r="K1261" s="3" t="s">
        <v>219</v>
      </c>
      <c r="L1261" s="12">
        <v>518820</v>
      </c>
      <c r="M1261" s="11">
        <v>353114</v>
      </c>
    </row>
    <row r="1262" spans="1:13">
      <c r="A1262" s="15">
        <v>46235</v>
      </c>
      <c r="B1262" s="3" t="s">
        <v>56</v>
      </c>
      <c r="C1262" s="4" t="s">
        <v>164</v>
      </c>
      <c r="D1262" s="3" t="s">
        <v>33</v>
      </c>
      <c r="E1262" s="3" t="s">
        <v>142</v>
      </c>
      <c r="F1262" s="3" t="str">
        <f t="shared" si="19"/>
        <v>20070043</v>
      </c>
      <c r="G1262" s="17">
        <f>IFERROR(VLOOKUP(F1262,Hoja2!$K$2:$M$1198,2,FALSE),0)</f>
        <v>0</v>
      </c>
      <c r="H1262" s="17">
        <f>IFERROR(VLOOKUP(F1262,Hoja2!$K$2:$M$1198,3,FALSE),0)</f>
        <v>0</v>
      </c>
      <c r="I1262" s="3" t="s">
        <v>7</v>
      </c>
      <c r="J1262" s="3" t="s">
        <v>217</v>
      </c>
      <c r="K1262" s="3" t="s">
        <v>219</v>
      </c>
      <c r="L1262" s="12">
        <v>606016</v>
      </c>
      <c r="M1262" s="11">
        <v>1805399</v>
      </c>
    </row>
    <row r="1263" spans="1:13">
      <c r="A1263" s="15">
        <v>46235</v>
      </c>
      <c r="B1263" s="3" t="s">
        <v>88</v>
      </c>
      <c r="C1263" s="4" t="s">
        <v>192</v>
      </c>
      <c r="D1263" s="3" t="s">
        <v>33</v>
      </c>
      <c r="E1263" s="3" t="s">
        <v>142</v>
      </c>
      <c r="F1263" s="3" t="str">
        <f t="shared" si="19"/>
        <v>20310043</v>
      </c>
      <c r="G1263" s="17">
        <f>IFERROR(VLOOKUP(F1263,Hoja2!$K$2:$M$1198,2,FALSE),0)</f>
        <v>0</v>
      </c>
      <c r="H1263" s="17">
        <f>IFERROR(VLOOKUP(F1263,Hoja2!$K$2:$M$1198,3,FALSE),0)</f>
        <v>0</v>
      </c>
      <c r="I1263" s="3" t="s">
        <v>7</v>
      </c>
      <c r="J1263" s="3" t="s">
        <v>217</v>
      </c>
      <c r="K1263" s="3" t="s">
        <v>219</v>
      </c>
      <c r="L1263" s="12">
        <v>417928</v>
      </c>
      <c r="M1263" s="11">
        <v>2043705</v>
      </c>
    </row>
    <row r="1264" spans="1:13">
      <c r="A1264" s="15">
        <v>46235</v>
      </c>
      <c r="B1264" s="3" t="s">
        <v>97</v>
      </c>
      <c r="C1264" s="4" t="s">
        <v>200</v>
      </c>
      <c r="D1264" s="3" t="s">
        <v>33</v>
      </c>
      <c r="E1264" s="3" t="s">
        <v>142</v>
      </c>
      <c r="F1264" s="3" t="str">
        <f t="shared" si="19"/>
        <v>20230043</v>
      </c>
      <c r="G1264" s="17">
        <f>IFERROR(VLOOKUP(F1264,Hoja2!$K$2:$M$1198,2,FALSE),0)</f>
        <v>0</v>
      </c>
      <c r="H1264" s="17">
        <f>IFERROR(VLOOKUP(F1264,Hoja2!$K$2:$M$1198,3,FALSE),0)</f>
        <v>0</v>
      </c>
      <c r="I1264" s="3" t="s">
        <v>7</v>
      </c>
      <c r="J1264" s="3" t="s">
        <v>217</v>
      </c>
      <c r="K1264" s="3" t="s">
        <v>219</v>
      </c>
      <c r="L1264" s="12">
        <v>426020</v>
      </c>
      <c r="M1264" s="11">
        <v>1894090</v>
      </c>
    </row>
    <row r="1265" spans="1:13">
      <c r="A1265" s="15">
        <v>46235</v>
      </c>
      <c r="B1265" s="3" t="s">
        <v>20</v>
      </c>
      <c r="C1265" s="4" t="s">
        <v>130</v>
      </c>
      <c r="D1265" s="3" t="s">
        <v>33</v>
      </c>
      <c r="E1265" s="3" t="s">
        <v>142</v>
      </c>
      <c r="F1265" s="3" t="str">
        <f t="shared" si="19"/>
        <v>01340043</v>
      </c>
      <c r="G1265" s="17">
        <f>IFERROR(VLOOKUP(F1265,Hoja2!$K$2:$M$1198,2,FALSE),0)</f>
        <v>66170000</v>
      </c>
      <c r="H1265" s="17">
        <f>IFERROR(VLOOKUP(F1265,Hoja2!$K$2:$M$1198,3,FALSE),0)</f>
        <v>5001000</v>
      </c>
      <c r="I1265" s="3" t="s">
        <v>7</v>
      </c>
      <c r="J1265" s="3" t="s">
        <v>217</v>
      </c>
      <c r="K1265" s="3" t="s">
        <v>219</v>
      </c>
      <c r="L1265" s="12">
        <v>619420</v>
      </c>
      <c r="M1265" s="11">
        <v>1102000</v>
      </c>
    </row>
    <row r="1266" spans="1:13">
      <c r="A1266" s="15">
        <v>46235</v>
      </c>
      <c r="B1266" s="3" t="s">
        <v>40</v>
      </c>
      <c r="C1266" s="4" t="s">
        <v>149</v>
      </c>
      <c r="D1266" s="3" t="s">
        <v>33</v>
      </c>
      <c r="E1266" s="3" t="s">
        <v>142</v>
      </c>
      <c r="F1266" s="3" t="str">
        <f t="shared" si="19"/>
        <v>04470043</v>
      </c>
      <c r="G1266" s="17">
        <f>IFERROR(VLOOKUP(F1266,Hoja2!$K$2:$M$1198,2,FALSE),0)</f>
        <v>20001000</v>
      </c>
      <c r="H1266" s="17">
        <f>IFERROR(VLOOKUP(F1266,Hoja2!$K$2:$M$1198,3,FALSE),0)</f>
        <v>5001000</v>
      </c>
      <c r="I1266" s="3" t="s">
        <v>7</v>
      </c>
      <c r="J1266" s="3" t="s">
        <v>217</v>
      </c>
      <c r="K1266" s="3" t="s">
        <v>219</v>
      </c>
      <c r="L1266" s="12">
        <v>546876</v>
      </c>
      <c r="M1266" s="11">
        <v>3034030</v>
      </c>
    </row>
    <row r="1267" spans="1:13">
      <c r="A1267" s="15">
        <v>46235</v>
      </c>
      <c r="B1267" s="3" t="s">
        <v>59</v>
      </c>
      <c r="C1267" s="4" t="s">
        <v>166</v>
      </c>
      <c r="D1267" s="3" t="s">
        <v>33</v>
      </c>
      <c r="E1267" s="3" t="s">
        <v>142</v>
      </c>
      <c r="F1267" s="3" t="str">
        <f t="shared" si="19"/>
        <v>01310043</v>
      </c>
      <c r="G1267" s="17">
        <f>IFERROR(VLOOKUP(F1267,Hoja2!$K$2:$M$1198,2,FALSE),0)</f>
        <v>76109000</v>
      </c>
      <c r="H1267" s="17">
        <f>IFERROR(VLOOKUP(F1267,Hoja2!$K$2:$M$1198,3,FALSE),0)</f>
        <v>5088000</v>
      </c>
      <c r="I1267" s="3" t="s">
        <v>7</v>
      </c>
      <c r="J1267" s="3" t="s">
        <v>217</v>
      </c>
      <c r="K1267" s="3" t="s">
        <v>219</v>
      </c>
      <c r="L1267" s="12">
        <v>843315</v>
      </c>
      <c r="M1267" s="11">
        <v>1986352</v>
      </c>
    </row>
    <row r="1268" spans="1:13">
      <c r="A1268" s="15">
        <v>46235</v>
      </c>
      <c r="B1268" s="3" t="s">
        <v>42</v>
      </c>
      <c r="C1268" s="4" t="s">
        <v>151</v>
      </c>
      <c r="D1268" s="3" t="s">
        <v>101</v>
      </c>
      <c r="E1268" s="3" t="s">
        <v>203</v>
      </c>
      <c r="F1268" s="3" t="str">
        <f t="shared" si="19"/>
        <v>039550576</v>
      </c>
      <c r="G1268" s="17">
        <f>IFERROR(VLOOKUP(F1268,Hoja2!$K$2:$M$1198,2,FALSE),0)</f>
        <v>0</v>
      </c>
      <c r="H1268" s="17">
        <f>IFERROR(VLOOKUP(F1268,Hoja2!$K$2:$M$1198,3,FALSE),0)</f>
        <v>0</v>
      </c>
      <c r="I1268" s="3" t="s">
        <v>7</v>
      </c>
      <c r="J1268" s="3" t="s">
        <v>217</v>
      </c>
      <c r="K1268" s="3" t="s">
        <v>219</v>
      </c>
      <c r="L1268" s="12">
        <v>1143000</v>
      </c>
      <c r="M1268" s="11">
        <v>418465</v>
      </c>
    </row>
    <row r="1269" spans="1:13">
      <c r="A1269" s="15">
        <v>46235</v>
      </c>
      <c r="B1269" s="3" t="s">
        <v>32</v>
      </c>
      <c r="C1269" s="4" t="s">
        <v>141</v>
      </c>
      <c r="D1269" s="3" t="s">
        <v>71</v>
      </c>
      <c r="E1269" s="3" t="s">
        <v>176</v>
      </c>
      <c r="F1269" s="3" t="str">
        <f t="shared" si="19"/>
        <v>01980146</v>
      </c>
      <c r="G1269" s="17">
        <f>IFERROR(VLOOKUP(F1269,Hoja2!$K$2:$M$1198,2,FALSE),0)</f>
        <v>66001000</v>
      </c>
      <c r="H1269" s="17">
        <f>IFERROR(VLOOKUP(F1269,Hoja2!$K$2:$M$1198,3,FALSE),0)</f>
        <v>17001000</v>
      </c>
      <c r="I1269" s="3" t="s">
        <v>7</v>
      </c>
      <c r="J1269" s="3" t="s">
        <v>217</v>
      </c>
      <c r="K1269" s="3" t="s">
        <v>219</v>
      </c>
      <c r="L1269" s="12">
        <v>802907</v>
      </c>
      <c r="M1269" s="11">
        <v>720575</v>
      </c>
    </row>
    <row r="1270" spans="1:13">
      <c r="A1270" s="15">
        <v>46235</v>
      </c>
      <c r="B1270" s="3" t="s">
        <v>32</v>
      </c>
      <c r="C1270" s="4" t="s">
        <v>141</v>
      </c>
      <c r="D1270" s="3" t="s">
        <v>45</v>
      </c>
      <c r="E1270" s="3" t="s">
        <v>153</v>
      </c>
      <c r="F1270" s="3" t="str">
        <f t="shared" si="19"/>
        <v>01980145</v>
      </c>
      <c r="G1270" s="17">
        <f>IFERROR(VLOOKUP(F1270,Hoja2!$K$2:$M$1198,2,FALSE),0)</f>
        <v>66001000</v>
      </c>
      <c r="H1270" s="17">
        <f>IFERROR(VLOOKUP(F1270,Hoja2!$K$2:$M$1198,3,FALSE),0)</f>
        <v>17001000</v>
      </c>
      <c r="I1270" s="3" t="s">
        <v>7</v>
      </c>
      <c r="J1270" s="3" t="s">
        <v>217</v>
      </c>
      <c r="K1270" s="3" t="s">
        <v>219</v>
      </c>
      <c r="L1270" s="12">
        <v>721350</v>
      </c>
      <c r="M1270" s="11">
        <v>719077</v>
      </c>
    </row>
    <row r="1271" spans="1:13">
      <c r="A1271" s="15">
        <v>46235</v>
      </c>
      <c r="B1271" s="3" t="s">
        <v>32</v>
      </c>
      <c r="C1271" s="4" t="s">
        <v>141</v>
      </c>
      <c r="D1271" s="3" t="s">
        <v>68</v>
      </c>
      <c r="E1271" s="3" t="s">
        <v>174</v>
      </c>
      <c r="F1271" s="3" t="str">
        <f t="shared" si="19"/>
        <v>01980412</v>
      </c>
      <c r="G1271" s="17">
        <f>IFERROR(VLOOKUP(F1271,Hoja2!$K$2:$M$1198,2,FALSE),0)</f>
        <v>66001000</v>
      </c>
      <c r="H1271" s="17">
        <f>IFERROR(VLOOKUP(F1271,Hoja2!$K$2:$M$1198,3,FALSE),0)</f>
        <v>76895000</v>
      </c>
      <c r="I1271" s="3" t="s">
        <v>7</v>
      </c>
      <c r="J1271" s="3" t="s">
        <v>217</v>
      </c>
      <c r="K1271" s="3" t="s">
        <v>219</v>
      </c>
      <c r="L1271" s="12">
        <v>596217</v>
      </c>
      <c r="M1271" s="11">
        <v>686573</v>
      </c>
    </row>
    <row r="1272" spans="1:13">
      <c r="A1272" s="15">
        <v>46235</v>
      </c>
      <c r="B1272" s="3" t="s">
        <v>102</v>
      </c>
      <c r="C1272" s="4" t="s">
        <v>204</v>
      </c>
      <c r="D1272" s="3" t="s">
        <v>28</v>
      </c>
      <c r="E1272" s="3" t="s">
        <v>137</v>
      </c>
      <c r="F1272" s="3" t="str">
        <f t="shared" si="19"/>
        <v>00290460</v>
      </c>
      <c r="G1272" s="17">
        <f>IFERROR(VLOOKUP(F1272,Hoja2!$K$2:$M$1198,2,FALSE),0)</f>
        <v>50001000</v>
      </c>
      <c r="H1272" s="17">
        <f>IFERROR(VLOOKUP(F1272,Hoja2!$K$2:$M$1198,3,FALSE),0)</f>
        <v>11001000</v>
      </c>
      <c r="I1272" s="3" t="s">
        <v>7</v>
      </c>
      <c r="J1272" s="3" t="s">
        <v>217</v>
      </c>
      <c r="K1272" s="3" t="s">
        <v>219</v>
      </c>
      <c r="L1272" s="12">
        <v>495040</v>
      </c>
      <c r="M1272" s="11">
        <v>835187</v>
      </c>
    </row>
    <row r="1273" spans="1:13">
      <c r="A1273" s="15">
        <v>46235</v>
      </c>
      <c r="B1273" s="3" t="s">
        <v>93</v>
      </c>
      <c r="C1273" s="4" t="s">
        <v>191</v>
      </c>
      <c r="D1273" s="3" t="s">
        <v>103</v>
      </c>
      <c r="E1273" s="3" t="s">
        <v>205</v>
      </c>
      <c r="F1273" s="3" t="str">
        <f t="shared" si="19"/>
        <v>005450393</v>
      </c>
      <c r="G1273" s="17">
        <f>IFERROR(VLOOKUP(F1273,Hoja2!$K$2:$M$1198,2,FALSE),0)</f>
        <v>0</v>
      </c>
      <c r="H1273" s="17">
        <f>IFERROR(VLOOKUP(F1273,Hoja2!$K$2:$M$1198,3,FALSE),0)</f>
        <v>0</v>
      </c>
      <c r="I1273" s="7" t="s">
        <v>104</v>
      </c>
      <c r="J1273" s="3" t="s">
        <v>217</v>
      </c>
      <c r="K1273" s="3" t="s">
        <v>219</v>
      </c>
      <c r="L1273" s="12">
        <v>370912</v>
      </c>
      <c r="M1273" s="11">
        <v>1523971</v>
      </c>
    </row>
    <row r="1274" spans="1:13">
      <c r="A1274" s="15">
        <v>46235</v>
      </c>
      <c r="B1274" s="3" t="s">
        <v>31</v>
      </c>
      <c r="C1274" s="4" t="s">
        <v>140</v>
      </c>
      <c r="D1274" s="3" t="s">
        <v>105</v>
      </c>
      <c r="E1274" s="3" t="s">
        <v>206</v>
      </c>
      <c r="F1274" s="3" t="str">
        <f t="shared" si="19"/>
        <v>011350331</v>
      </c>
      <c r="G1274" s="17">
        <f>IFERROR(VLOOKUP(F1274,Hoja2!$K$2:$M$1198,2,FALSE),0)</f>
        <v>0</v>
      </c>
      <c r="H1274" s="17">
        <f>IFERROR(VLOOKUP(F1274,Hoja2!$K$2:$M$1198,3,FALSE),0)</f>
        <v>0</v>
      </c>
      <c r="I1274" s="3" t="s">
        <v>7</v>
      </c>
      <c r="J1274" s="3" t="s">
        <v>217</v>
      </c>
      <c r="K1274" s="3" t="s">
        <v>219</v>
      </c>
      <c r="L1274" s="12">
        <v>505508</v>
      </c>
      <c r="M1274" s="11">
        <v>540627</v>
      </c>
    </row>
    <row r="1275" spans="1:13">
      <c r="A1275" s="15">
        <v>46235</v>
      </c>
      <c r="B1275" s="3" t="s">
        <v>42</v>
      </c>
      <c r="C1275" s="4" t="s">
        <v>151</v>
      </c>
      <c r="D1275" s="3" t="s">
        <v>106</v>
      </c>
      <c r="E1275" s="3" t="s">
        <v>207</v>
      </c>
      <c r="F1275" s="3" t="str">
        <f t="shared" si="19"/>
        <v>039550519</v>
      </c>
      <c r="G1275" s="17">
        <f>IFERROR(VLOOKUP(F1275,Hoja2!$K$2:$M$1198,2,FALSE),0)</f>
        <v>0</v>
      </c>
      <c r="H1275" s="17">
        <f>IFERROR(VLOOKUP(F1275,Hoja2!$K$2:$M$1198,3,FALSE),0)</f>
        <v>0</v>
      </c>
      <c r="I1275" s="3" t="s">
        <v>7</v>
      </c>
      <c r="J1275" s="3" t="s">
        <v>217</v>
      </c>
      <c r="K1275" s="3" t="s">
        <v>219</v>
      </c>
      <c r="L1275" s="12">
        <v>1142146</v>
      </c>
      <c r="M1275" s="11">
        <v>1260922</v>
      </c>
    </row>
    <row r="1276" spans="1:13">
      <c r="A1276" s="15">
        <v>46235</v>
      </c>
      <c r="B1276" s="3" t="s">
        <v>5</v>
      </c>
      <c r="C1276" s="3" t="s">
        <v>116</v>
      </c>
      <c r="D1276" s="3" t="s">
        <v>103</v>
      </c>
      <c r="E1276" s="3" t="s">
        <v>205</v>
      </c>
      <c r="F1276" s="3" t="str">
        <f t="shared" si="19"/>
        <v>002150393</v>
      </c>
      <c r="G1276" s="17">
        <f>IFERROR(VLOOKUP(F1276,Hoja2!$K$2:$M$1198,2,FALSE),0)</f>
        <v>0</v>
      </c>
      <c r="H1276" s="17">
        <f>IFERROR(VLOOKUP(F1276,Hoja2!$K$2:$M$1198,3,FALSE),0)</f>
        <v>0</v>
      </c>
      <c r="I1276" s="3" t="s">
        <v>7</v>
      </c>
      <c r="J1276" s="3" t="s">
        <v>217</v>
      </c>
      <c r="K1276" s="3" t="s">
        <v>219</v>
      </c>
      <c r="L1276" s="12">
        <v>300927</v>
      </c>
      <c r="M1276" s="11">
        <v>1236177</v>
      </c>
    </row>
    <row r="1277" spans="1:13">
      <c r="A1277" s="15">
        <v>46235</v>
      </c>
      <c r="B1277" s="3" t="s">
        <v>66</v>
      </c>
      <c r="C1277" s="3" t="s">
        <v>172</v>
      </c>
      <c r="D1277" s="3" t="s">
        <v>9</v>
      </c>
      <c r="E1277" s="4" t="s">
        <v>119</v>
      </c>
      <c r="F1277" s="3" t="str">
        <f t="shared" si="19"/>
        <v>02300111</v>
      </c>
      <c r="G1277" s="17">
        <f>IFERROR(VLOOKUP(F1277,Hoja2!$K$2:$M$1198,2,FALSE),0)</f>
        <v>0</v>
      </c>
      <c r="H1277" s="17">
        <f>IFERROR(VLOOKUP(F1277,Hoja2!$K$2:$M$1198,3,FALSE),0)</f>
        <v>0</v>
      </c>
      <c r="I1277" s="3" t="s">
        <v>7</v>
      </c>
      <c r="J1277" s="3" t="s">
        <v>217</v>
      </c>
      <c r="K1277" s="3" t="s">
        <v>219</v>
      </c>
      <c r="L1277" s="12">
        <v>971784</v>
      </c>
      <c r="M1277" s="11">
        <v>1755806</v>
      </c>
    </row>
    <row r="1278" spans="1:13">
      <c r="A1278" s="15">
        <v>46235</v>
      </c>
      <c r="B1278" s="3" t="s">
        <v>19</v>
      </c>
      <c r="C1278" s="4" t="s">
        <v>129</v>
      </c>
      <c r="D1278" s="3" t="s">
        <v>107</v>
      </c>
      <c r="E1278" s="8" t="s">
        <v>208</v>
      </c>
      <c r="F1278" s="3" t="str">
        <f t="shared" si="19"/>
        <v>038150354</v>
      </c>
      <c r="G1278" s="17">
        <f>IFERROR(VLOOKUP(F1278,Hoja2!$K$2:$M$1198,2,FALSE),0)</f>
        <v>0</v>
      </c>
      <c r="H1278" s="17">
        <f>IFERROR(VLOOKUP(F1278,Hoja2!$K$2:$M$1198,3,FALSE),0)</f>
        <v>0</v>
      </c>
      <c r="I1278" s="3" t="s">
        <v>7</v>
      </c>
      <c r="J1278" s="3" t="s">
        <v>217</v>
      </c>
      <c r="K1278" s="3" t="s">
        <v>219</v>
      </c>
      <c r="L1278" s="12">
        <v>504472</v>
      </c>
      <c r="M1278" s="11">
        <v>317857</v>
      </c>
    </row>
    <row r="1279" spans="1:13">
      <c r="A1279" s="15">
        <v>46235</v>
      </c>
      <c r="B1279" s="3" t="s">
        <v>9</v>
      </c>
      <c r="C1279" s="4" t="s">
        <v>119</v>
      </c>
      <c r="D1279" s="3" t="s">
        <v>108</v>
      </c>
      <c r="E1279" s="3" t="s">
        <v>209</v>
      </c>
      <c r="F1279" s="3" t="str">
        <f t="shared" si="19"/>
        <v>011150242</v>
      </c>
      <c r="G1279" s="17">
        <f>IFERROR(VLOOKUP(F1279,Hoja2!$K$2:$M$1198,2,FALSE),0)</f>
        <v>0</v>
      </c>
      <c r="H1279" s="17">
        <f>IFERROR(VLOOKUP(F1279,Hoja2!$K$2:$M$1198,3,FALSE),0)</f>
        <v>0</v>
      </c>
      <c r="I1279" s="3" t="s">
        <v>7</v>
      </c>
      <c r="J1279" s="3" t="s">
        <v>217</v>
      </c>
      <c r="K1279" s="3" t="s">
        <v>219</v>
      </c>
      <c r="L1279" s="12">
        <v>733200</v>
      </c>
      <c r="M1279" s="11">
        <v>328195</v>
      </c>
    </row>
    <row r="1280" spans="1:13">
      <c r="A1280" s="15">
        <v>46235</v>
      </c>
      <c r="B1280" s="3" t="s">
        <v>40</v>
      </c>
      <c r="C1280" s="4" t="s">
        <v>149</v>
      </c>
      <c r="D1280" s="3" t="s">
        <v>19</v>
      </c>
      <c r="E1280" s="3" t="s">
        <v>129</v>
      </c>
      <c r="F1280" s="3" t="str">
        <f t="shared" si="19"/>
        <v>04470381</v>
      </c>
      <c r="G1280" s="17">
        <f>IFERROR(VLOOKUP(F1280,Hoja2!$K$2:$M$1198,2,FALSE),0)</f>
        <v>0</v>
      </c>
      <c r="H1280" s="17">
        <f>IFERROR(VLOOKUP(F1280,Hoja2!$K$2:$M$1198,3,FALSE),0)</f>
        <v>0</v>
      </c>
      <c r="I1280" s="3" t="s">
        <v>7</v>
      </c>
      <c r="J1280" s="3" t="s">
        <v>217</v>
      </c>
      <c r="K1280" s="3" t="s">
        <v>219</v>
      </c>
      <c r="L1280" s="12">
        <v>652321</v>
      </c>
      <c r="M1280" s="11">
        <v>1946455</v>
      </c>
    </row>
    <row r="1281" spans="1:13">
      <c r="A1281" s="15">
        <v>46235</v>
      </c>
      <c r="B1281" s="3" t="s">
        <v>9</v>
      </c>
      <c r="C1281" s="4" t="s">
        <v>119</v>
      </c>
      <c r="D1281" s="3" t="s">
        <v>109</v>
      </c>
      <c r="E1281" s="3" t="s">
        <v>210</v>
      </c>
      <c r="F1281" s="3" t="str">
        <f t="shared" si="19"/>
        <v>011150884</v>
      </c>
      <c r="G1281" s="17">
        <f>IFERROR(VLOOKUP(F1281,Hoja2!$K$2:$M$1198,2,FALSE),0)</f>
        <v>0</v>
      </c>
      <c r="H1281" s="17">
        <f>IFERROR(VLOOKUP(F1281,Hoja2!$K$2:$M$1198,3,FALSE),0)</f>
        <v>0</v>
      </c>
      <c r="I1281" s="3" t="s">
        <v>7</v>
      </c>
      <c r="J1281" s="3" t="s">
        <v>217</v>
      </c>
      <c r="K1281" s="3" t="s">
        <v>219</v>
      </c>
      <c r="L1281" s="12">
        <v>733200</v>
      </c>
      <c r="M1281" s="11">
        <v>306637</v>
      </c>
    </row>
    <row r="1282" spans="1:13">
      <c r="A1282" s="15">
        <v>46235</v>
      </c>
      <c r="B1282" s="8" t="s">
        <v>103</v>
      </c>
      <c r="C1282" s="3" t="s">
        <v>205</v>
      </c>
      <c r="D1282" s="3" t="s">
        <v>74</v>
      </c>
      <c r="E1282" s="3" t="s">
        <v>179</v>
      </c>
      <c r="F1282" s="3" t="str">
        <f t="shared" si="19"/>
        <v>503930463</v>
      </c>
      <c r="G1282" s="17">
        <f>IFERROR(VLOOKUP(F1282,Hoja2!$K$2:$M$1198,2,FALSE),0)</f>
        <v>0</v>
      </c>
      <c r="H1282" s="17">
        <f>IFERROR(VLOOKUP(F1282,Hoja2!$K$2:$M$1198,3,FALSE),0)</f>
        <v>0</v>
      </c>
      <c r="I1282" s="3" t="s">
        <v>7</v>
      </c>
      <c r="J1282" s="3" t="s">
        <v>217</v>
      </c>
      <c r="K1282" s="3" t="s">
        <v>219</v>
      </c>
      <c r="L1282" s="12">
        <v>906923</v>
      </c>
      <c r="M1282" s="11">
        <v>1134417</v>
      </c>
    </row>
    <row r="1283" spans="1:13">
      <c r="A1283" s="15">
        <v>46235</v>
      </c>
      <c r="B1283" s="3" t="s">
        <v>31</v>
      </c>
      <c r="C1283" s="4" t="s">
        <v>140</v>
      </c>
      <c r="D1283" s="3" t="s">
        <v>13</v>
      </c>
      <c r="E1283" s="3" t="s">
        <v>123</v>
      </c>
      <c r="F1283" s="3" t="str">
        <f t="shared" ref="F1283:F1302" si="20">C1283&amp;E1283</f>
        <v>01130292</v>
      </c>
      <c r="G1283" s="17">
        <f>IFERROR(VLOOKUP(F1283,Hoja2!$K$2:$M$1198,2,FALSE),0)</f>
        <v>0</v>
      </c>
      <c r="H1283" s="17">
        <f>IFERROR(VLOOKUP(F1283,Hoja2!$K$2:$M$1198,3,FALSE),0)</f>
        <v>0</v>
      </c>
      <c r="I1283" s="3" t="s">
        <v>7</v>
      </c>
      <c r="J1283" s="3" t="s">
        <v>217</v>
      </c>
      <c r="K1283" s="3" t="s">
        <v>219</v>
      </c>
      <c r="L1283" s="12">
        <v>598599</v>
      </c>
      <c r="M1283" s="11">
        <v>2876934</v>
      </c>
    </row>
    <row r="1284" spans="1:13">
      <c r="A1284" s="15">
        <v>46235</v>
      </c>
      <c r="B1284" s="8" t="s">
        <v>103</v>
      </c>
      <c r="C1284" s="3" t="s">
        <v>205</v>
      </c>
      <c r="D1284" s="3" t="s">
        <v>110</v>
      </c>
      <c r="E1284" s="3" t="s">
        <v>211</v>
      </c>
      <c r="F1284" s="3" t="str">
        <f t="shared" si="20"/>
        <v>5039350869</v>
      </c>
      <c r="G1284" s="17">
        <f>IFERROR(VLOOKUP(F1284,Hoja2!$K$2:$M$1198,2,FALSE),0)</f>
        <v>0</v>
      </c>
      <c r="H1284" s="17">
        <f>IFERROR(VLOOKUP(F1284,Hoja2!$K$2:$M$1198,3,FALSE),0)</f>
        <v>0</v>
      </c>
      <c r="I1284" s="3" t="s">
        <v>7</v>
      </c>
      <c r="J1284" s="3" t="s">
        <v>217</v>
      </c>
      <c r="K1284" s="3" t="s">
        <v>219</v>
      </c>
      <c r="L1284" s="13"/>
      <c r="M1284" s="11">
        <v>1039661</v>
      </c>
    </row>
    <row r="1285" spans="1:13">
      <c r="A1285" s="15">
        <v>46235</v>
      </c>
      <c r="B1285" s="8" t="s">
        <v>103</v>
      </c>
      <c r="C1285" s="3" t="s">
        <v>205</v>
      </c>
      <c r="D1285" s="3" t="s">
        <v>111</v>
      </c>
      <c r="E1285" s="3" t="s">
        <v>212</v>
      </c>
      <c r="F1285" s="3" t="str">
        <f t="shared" si="20"/>
        <v>5039360022</v>
      </c>
      <c r="G1285" s="17">
        <f>IFERROR(VLOOKUP(F1285,Hoja2!$K$2:$M$1198,2,FALSE),0)</f>
        <v>0</v>
      </c>
      <c r="H1285" s="17">
        <f>IFERROR(VLOOKUP(F1285,Hoja2!$K$2:$M$1198,3,FALSE),0)</f>
        <v>0</v>
      </c>
      <c r="I1285" s="3" t="s">
        <v>7</v>
      </c>
      <c r="J1285" s="3" t="s">
        <v>217</v>
      </c>
      <c r="K1285" s="3" t="s">
        <v>219</v>
      </c>
      <c r="L1285" s="13"/>
      <c r="M1285" s="11">
        <v>1184288</v>
      </c>
    </row>
    <row r="1286" spans="1:13">
      <c r="A1286" s="15">
        <v>46235</v>
      </c>
      <c r="B1286" s="8" t="s">
        <v>103</v>
      </c>
      <c r="C1286" s="3" t="s">
        <v>205</v>
      </c>
      <c r="D1286" s="3" t="s">
        <v>112</v>
      </c>
      <c r="E1286" s="3" t="s">
        <v>213</v>
      </c>
      <c r="F1286" s="3" t="str">
        <f t="shared" si="20"/>
        <v>5039360014</v>
      </c>
      <c r="G1286" s="17">
        <f>IFERROR(VLOOKUP(F1286,Hoja2!$K$2:$M$1198,2,FALSE),0)</f>
        <v>0</v>
      </c>
      <c r="H1286" s="17">
        <f>IFERROR(VLOOKUP(F1286,Hoja2!$K$2:$M$1198,3,FALSE),0)</f>
        <v>0</v>
      </c>
      <c r="I1286" s="3" t="s">
        <v>7</v>
      </c>
      <c r="J1286" s="3" t="s">
        <v>217</v>
      </c>
      <c r="K1286" s="3" t="s">
        <v>219</v>
      </c>
      <c r="L1286" s="13"/>
      <c r="M1286" s="11">
        <v>1139404</v>
      </c>
    </row>
    <row r="1287" spans="1:13">
      <c r="A1287" s="15">
        <v>46235</v>
      </c>
      <c r="B1287" s="3" t="s">
        <v>11</v>
      </c>
      <c r="C1287" s="4" t="s">
        <v>121</v>
      </c>
      <c r="D1287" s="5" t="s">
        <v>14</v>
      </c>
      <c r="E1287" s="5" t="s">
        <v>124</v>
      </c>
      <c r="F1287" s="3" t="str">
        <f t="shared" si="20"/>
        <v>04380092</v>
      </c>
      <c r="G1287" s="17">
        <f>IFERROR(VLOOKUP(F1287,Hoja2!$K$2:$M$1198,2,FALSE),0)</f>
        <v>0</v>
      </c>
      <c r="H1287" s="17">
        <f>IFERROR(VLOOKUP(F1287,Hoja2!$K$2:$M$1198,3,FALSE),0)</f>
        <v>0</v>
      </c>
      <c r="I1287" s="3" t="s">
        <v>7</v>
      </c>
      <c r="J1287" s="3" t="s">
        <v>217</v>
      </c>
      <c r="K1287" s="3" t="s">
        <v>219</v>
      </c>
      <c r="L1287" s="12">
        <v>601854</v>
      </c>
      <c r="M1287" s="11">
        <v>2734801</v>
      </c>
    </row>
    <row r="1288" spans="1:13">
      <c r="A1288" s="15">
        <v>46235</v>
      </c>
      <c r="B1288" s="3" t="s">
        <v>21</v>
      </c>
      <c r="C1288" s="4" t="s">
        <v>131</v>
      </c>
      <c r="D1288" s="3" t="s">
        <v>32</v>
      </c>
      <c r="E1288" s="3" t="s">
        <v>141</v>
      </c>
      <c r="F1288" s="3" t="str">
        <f t="shared" si="20"/>
        <v>00350198</v>
      </c>
      <c r="G1288" s="17">
        <f>IFERROR(VLOOKUP(F1288,Hoja2!$K$2:$M$1198,2,FALSE),0)</f>
        <v>0</v>
      </c>
      <c r="H1288" s="17">
        <f>IFERROR(VLOOKUP(F1288,Hoja2!$K$2:$M$1198,3,FALSE),0)</f>
        <v>0</v>
      </c>
      <c r="I1288" s="3" t="s">
        <v>7</v>
      </c>
      <c r="J1288" s="3" t="s">
        <v>217</v>
      </c>
      <c r="K1288" s="3" t="s">
        <v>219</v>
      </c>
      <c r="L1288" s="12">
        <v>718527</v>
      </c>
      <c r="M1288" s="11">
        <v>1679642</v>
      </c>
    </row>
    <row r="1289" spans="1:13">
      <c r="A1289" s="15">
        <v>46235</v>
      </c>
      <c r="B1289" s="8" t="s">
        <v>103</v>
      </c>
      <c r="C1289" s="3" t="s">
        <v>205</v>
      </c>
      <c r="D1289" s="3" t="s">
        <v>23</v>
      </c>
      <c r="E1289" s="3" t="s">
        <v>133</v>
      </c>
      <c r="F1289" s="3" t="str">
        <f t="shared" si="20"/>
        <v>503930090</v>
      </c>
      <c r="G1289" s="17">
        <f>IFERROR(VLOOKUP(F1289,Hoja2!$K$2:$M$1198,2,FALSE),0)</f>
        <v>0</v>
      </c>
      <c r="H1289" s="17">
        <f>IFERROR(VLOOKUP(F1289,Hoja2!$K$2:$M$1198,3,FALSE),0)</f>
        <v>0</v>
      </c>
      <c r="I1289" s="3" t="s">
        <v>7</v>
      </c>
      <c r="J1289" s="3" t="s">
        <v>217</v>
      </c>
      <c r="K1289" s="3" t="s">
        <v>219</v>
      </c>
      <c r="L1289" s="13"/>
      <c r="M1289" s="11">
        <v>1044648</v>
      </c>
    </row>
    <row r="1290" spans="1:13">
      <c r="A1290" s="15">
        <v>46235</v>
      </c>
      <c r="B1290" s="8" t="s">
        <v>103</v>
      </c>
      <c r="C1290" s="3" t="s">
        <v>205</v>
      </c>
      <c r="D1290" s="3" t="s">
        <v>27</v>
      </c>
      <c r="E1290" s="3" t="s">
        <v>136</v>
      </c>
      <c r="F1290" s="3" t="str">
        <f t="shared" si="20"/>
        <v>503930074</v>
      </c>
      <c r="G1290" s="17">
        <f>IFERROR(VLOOKUP(F1290,Hoja2!$K$2:$M$1198,2,FALSE),0)</f>
        <v>0</v>
      </c>
      <c r="H1290" s="17">
        <f>IFERROR(VLOOKUP(F1290,Hoja2!$K$2:$M$1198,3,FALSE),0)</f>
        <v>0</v>
      </c>
      <c r="I1290" s="3" t="s">
        <v>7</v>
      </c>
      <c r="J1290" s="3" t="s">
        <v>217</v>
      </c>
      <c r="K1290" s="3" t="s">
        <v>219</v>
      </c>
      <c r="L1290" s="13"/>
      <c r="M1290" s="11">
        <v>2332965</v>
      </c>
    </row>
    <row r="1291" spans="1:13">
      <c r="A1291" s="15">
        <v>46235</v>
      </c>
      <c r="B1291" s="3" t="s">
        <v>77</v>
      </c>
      <c r="C1291" s="3" t="s">
        <v>181</v>
      </c>
      <c r="D1291" s="3" t="s">
        <v>9</v>
      </c>
      <c r="E1291" s="4" t="s">
        <v>119</v>
      </c>
      <c r="F1291" s="3" t="str">
        <f t="shared" si="20"/>
        <v>01190111</v>
      </c>
      <c r="G1291" s="17">
        <f>IFERROR(VLOOKUP(F1291,Hoja2!$K$2:$M$1198,2,FALSE),0)</f>
        <v>0</v>
      </c>
      <c r="H1291" s="17">
        <f>IFERROR(VLOOKUP(F1291,Hoja2!$K$2:$M$1198,3,FALSE),0)</f>
        <v>0</v>
      </c>
      <c r="I1291" s="3" t="s">
        <v>7</v>
      </c>
      <c r="J1291" s="3" t="s">
        <v>217</v>
      </c>
      <c r="K1291" s="3" t="s">
        <v>219</v>
      </c>
      <c r="L1291" s="12">
        <v>694945</v>
      </c>
      <c r="M1291" s="11">
        <v>844652</v>
      </c>
    </row>
    <row r="1292" spans="1:13">
      <c r="A1292" s="15">
        <v>46235</v>
      </c>
      <c r="B1292" s="3" t="s">
        <v>113</v>
      </c>
      <c r="C1292" s="4" t="s">
        <v>168</v>
      </c>
      <c r="D1292" s="3" t="s">
        <v>9</v>
      </c>
      <c r="E1292" s="3" t="s">
        <v>119</v>
      </c>
      <c r="F1292" s="3" t="str">
        <f t="shared" si="20"/>
        <v>30020111</v>
      </c>
      <c r="G1292" s="17">
        <f>IFERROR(VLOOKUP(F1292,Hoja2!$K$2:$M$1198,2,FALSE),0)</f>
        <v>0</v>
      </c>
      <c r="H1292" s="17">
        <f>IFERROR(VLOOKUP(F1292,Hoja2!$K$2:$M$1198,3,FALSE),0)</f>
        <v>0</v>
      </c>
      <c r="I1292" s="3" t="s">
        <v>7</v>
      </c>
      <c r="J1292" s="3" t="s">
        <v>217</v>
      </c>
      <c r="K1292" s="3" t="s">
        <v>219</v>
      </c>
      <c r="L1292" s="12">
        <v>333367</v>
      </c>
      <c r="M1292" s="11">
        <v>836044</v>
      </c>
    </row>
    <row r="1293" spans="1:13">
      <c r="A1293" s="15">
        <v>46235</v>
      </c>
      <c r="B1293" s="3" t="s">
        <v>113</v>
      </c>
      <c r="C1293" s="4" t="s">
        <v>168</v>
      </c>
      <c r="D1293" s="3" t="s">
        <v>5</v>
      </c>
      <c r="E1293" s="3" t="s">
        <v>116</v>
      </c>
      <c r="F1293" s="3" t="str">
        <f t="shared" si="20"/>
        <v>30020021</v>
      </c>
      <c r="G1293" s="17">
        <f>IFERROR(VLOOKUP(F1293,Hoja2!$K$2:$M$1198,2,FALSE),0)</f>
        <v>0</v>
      </c>
      <c r="H1293" s="17">
        <f>IFERROR(VLOOKUP(F1293,Hoja2!$K$2:$M$1198,3,FALSE),0)</f>
        <v>0</v>
      </c>
      <c r="I1293" s="3" t="s">
        <v>7</v>
      </c>
      <c r="J1293" s="3" t="s">
        <v>217</v>
      </c>
      <c r="K1293" s="3" t="s">
        <v>219</v>
      </c>
      <c r="L1293" s="12">
        <v>300927</v>
      </c>
      <c r="M1293" s="11">
        <v>4481394</v>
      </c>
    </row>
    <row r="1294" spans="1:13">
      <c r="A1294" s="15">
        <v>46235</v>
      </c>
      <c r="B1294" s="3" t="s">
        <v>113</v>
      </c>
      <c r="C1294" s="4" t="s">
        <v>168</v>
      </c>
      <c r="D1294" s="3" t="s">
        <v>8</v>
      </c>
      <c r="E1294" s="3" t="s">
        <v>118</v>
      </c>
      <c r="F1294" s="3" t="str">
        <f t="shared" si="20"/>
        <v>30020079</v>
      </c>
      <c r="G1294" s="17">
        <f>IFERROR(VLOOKUP(F1294,Hoja2!$K$2:$M$1198,2,FALSE),0)</f>
        <v>0</v>
      </c>
      <c r="H1294" s="17">
        <f>IFERROR(VLOOKUP(F1294,Hoja2!$K$2:$M$1198,3,FALSE),0)</f>
        <v>0</v>
      </c>
      <c r="I1294" s="3" t="s">
        <v>7</v>
      </c>
      <c r="J1294" s="3" t="s">
        <v>217</v>
      </c>
      <c r="K1294" s="3" t="s">
        <v>219</v>
      </c>
      <c r="L1294" s="12">
        <v>321000</v>
      </c>
      <c r="M1294" s="11">
        <v>2964210</v>
      </c>
    </row>
    <row r="1295" spans="1:13">
      <c r="A1295" s="15">
        <v>46235</v>
      </c>
      <c r="B1295" s="3" t="s">
        <v>113</v>
      </c>
      <c r="C1295" s="4" t="s">
        <v>168</v>
      </c>
      <c r="D1295" s="3" t="s">
        <v>6</v>
      </c>
      <c r="E1295" s="3" t="s">
        <v>117</v>
      </c>
      <c r="F1295" s="3" t="str">
        <f t="shared" si="20"/>
        <v>30020410</v>
      </c>
      <c r="G1295" s="17">
        <f>IFERROR(VLOOKUP(F1295,Hoja2!$K$2:$M$1198,2,FALSE),0)</f>
        <v>0</v>
      </c>
      <c r="H1295" s="17">
        <f>IFERROR(VLOOKUP(F1295,Hoja2!$K$2:$M$1198,3,FALSE),0)</f>
        <v>0</v>
      </c>
      <c r="I1295" s="3" t="s">
        <v>7</v>
      </c>
      <c r="J1295" s="3" t="s">
        <v>217</v>
      </c>
      <c r="K1295" s="3" t="s">
        <v>219</v>
      </c>
      <c r="L1295" s="12">
        <v>300927</v>
      </c>
      <c r="M1295" s="11">
        <v>4664503</v>
      </c>
    </row>
    <row r="1296" spans="1:13">
      <c r="A1296" s="15">
        <v>46235</v>
      </c>
      <c r="B1296" s="9" t="s">
        <v>8</v>
      </c>
      <c r="C1296" s="4" t="s">
        <v>118</v>
      </c>
      <c r="D1296" s="3" t="s">
        <v>33</v>
      </c>
      <c r="E1296" s="3" t="s">
        <v>142</v>
      </c>
      <c r="F1296" s="3" t="str">
        <f t="shared" si="20"/>
        <v>00790043</v>
      </c>
      <c r="G1296" s="17">
        <f>IFERROR(VLOOKUP(F1296,Hoja2!$K$2:$M$1198,2,FALSE),0)</f>
        <v>0</v>
      </c>
      <c r="H1296" s="17">
        <f>IFERROR(VLOOKUP(F1296,Hoja2!$K$2:$M$1198,3,FALSE),0)</f>
        <v>0</v>
      </c>
      <c r="I1296" s="3" t="s">
        <v>7</v>
      </c>
      <c r="J1296" s="3" t="s">
        <v>217</v>
      </c>
      <c r="K1296" s="3" t="s">
        <v>219</v>
      </c>
      <c r="L1296" s="12">
        <v>642000</v>
      </c>
      <c r="M1296" s="11">
        <v>357669</v>
      </c>
    </row>
    <row r="1297" spans="1:13">
      <c r="A1297" s="15">
        <v>46235</v>
      </c>
      <c r="B1297" s="3" t="s">
        <v>114</v>
      </c>
      <c r="C1297" s="4" t="s">
        <v>175</v>
      </c>
      <c r="D1297" s="3" t="s">
        <v>8</v>
      </c>
      <c r="E1297" s="3" t="s">
        <v>118</v>
      </c>
      <c r="F1297" s="3" t="str">
        <f t="shared" si="20"/>
        <v>30410079</v>
      </c>
      <c r="G1297" s="17">
        <f>IFERROR(VLOOKUP(F1297,Hoja2!$K$2:$M$1198,2,FALSE),0)</f>
        <v>0</v>
      </c>
      <c r="H1297" s="17">
        <f>IFERROR(VLOOKUP(F1297,Hoja2!$K$2:$M$1198,3,FALSE),0)</f>
        <v>0</v>
      </c>
      <c r="I1297" s="3" t="s">
        <v>7</v>
      </c>
      <c r="J1297" s="3" t="s">
        <v>217</v>
      </c>
      <c r="K1297" s="3" t="s">
        <v>219</v>
      </c>
      <c r="L1297" s="12">
        <v>686792</v>
      </c>
      <c r="M1297" s="11">
        <v>604057</v>
      </c>
    </row>
    <row r="1298" spans="1:13">
      <c r="A1298" s="15">
        <v>46235</v>
      </c>
      <c r="B1298" s="3" t="s">
        <v>40</v>
      </c>
      <c r="C1298" s="4" t="s">
        <v>149</v>
      </c>
      <c r="D1298" s="3" t="s">
        <v>77</v>
      </c>
      <c r="E1298" s="3" t="s">
        <v>181</v>
      </c>
      <c r="F1298" s="3" t="str">
        <f t="shared" si="20"/>
        <v>04470119</v>
      </c>
      <c r="G1298" s="17">
        <f>IFERROR(VLOOKUP(F1298,Hoja2!$K$2:$M$1198,2,FALSE),0)</f>
        <v>0</v>
      </c>
      <c r="H1298" s="17">
        <f>IFERROR(VLOOKUP(F1298,Hoja2!$K$2:$M$1198,3,FALSE),0)</f>
        <v>0</v>
      </c>
      <c r="I1298" s="3" t="s">
        <v>7</v>
      </c>
      <c r="J1298" s="3" t="s">
        <v>217</v>
      </c>
      <c r="K1298" s="3" t="s">
        <v>219</v>
      </c>
      <c r="L1298" s="12">
        <v>838658</v>
      </c>
      <c r="M1298" s="11">
        <v>1141897</v>
      </c>
    </row>
    <row r="1299" spans="1:13">
      <c r="A1299" s="15">
        <v>46235</v>
      </c>
      <c r="B1299" s="8" t="s">
        <v>103</v>
      </c>
      <c r="C1299" s="3" t="s">
        <v>205</v>
      </c>
      <c r="D1299" s="3" t="s">
        <v>26</v>
      </c>
      <c r="E1299" s="3" t="s">
        <v>135</v>
      </c>
      <c r="F1299" s="3" t="str">
        <f t="shared" si="20"/>
        <v>503930393</v>
      </c>
      <c r="G1299" s="17">
        <f>IFERROR(VLOOKUP(F1299,Hoja2!$K$2:$M$1198,2,FALSE),0)</f>
        <v>0</v>
      </c>
      <c r="H1299" s="17">
        <f>IFERROR(VLOOKUP(F1299,Hoja2!$K$2:$M$1198,3,FALSE),0)</f>
        <v>0</v>
      </c>
      <c r="I1299" s="3" t="s">
        <v>7</v>
      </c>
      <c r="J1299" s="3" t="s">
        <v>217</v>
      </c>
      <c r="K1299" s="3" t="s">
        <v>219</v>
      </c>
      <c r="L1299" s="12">
        <v>300927</v>
      </c>
      <c r="M1299" s="11">
        <v>1292546</v>
      </c>
    </row>
    <row r="1300" spans="1:13">
      <c r="A1300" s="15">
        <v>46235</v>
      </c>
      <c r="B1300" s="3" t="s">
        <v>19</v>
      </c>
      <c r="C1300" s="4" t="s">
        <v>129</v>
      </c>
      <c r="D1300" s="3" t="s">
        <v>77</v>
      </c>
      <c r="E1300" s="8" t="s">
        <v>181</v>
      </c>
      <c r="F1300" s="3" t="str">
        <f t="shared" si="20"/>
        <v>03810119</v>
      </c>
      <c r="G1300" s="17">
        <f>IFERROR(VLOOKUP(F1300,Hoja2!$K$2:$M$1198,2,FALSE),0)</f>
        <v>0</v>
      </c>
      <c r="H1300" s="17">
        <f>IFERROR(VLOOKUP(F1300,Hoja2!$K$2:$M$1198,3,FALSE),0)</f>
        <v>0</v>
      </c>
      <c r="I1300" s="3" t="s">
        <v>7</v>
      </c>
      <c r="J1300" s="3" t="s">
        <v>217</v>
      </c>
      <c r="K1300" s="3" t="s">
        <v>219</v>
      </c>
      <c r="L1300" s="12">
        <v>824081</v>
      </c>
      <c r="M1300" s="11">
        <v>1647928</v>
      </c>
    </row>
    <row r="1301" spans="1:13">
      <c r="A1301" s="15">
        <v>46235</v>
      </c>
      <c r="B1301" s="3" t="s">
        <v>19</v>
      </c>
      <c r="C1301" s="4" t="s">
        <v>129</v>
      </c>
      <c r="D1301" s="3" t="s">
        <v>66</v>
      </c>
      <c r="E1301" s="8" t="s">
        <v>172</v>
      </c>
      <c r="F1301" s="3" t="str">
        <f t="shared" si="20"/>
        <v>03810230</v>
      </c>
      <c r="G1301" s="17">
        <f>IFERROR(VLOOKUP(F1301,Hoja2!$K$2:$M$1198,2,FALSE),0)</f>
        <v>0</v>
      </c>
      <c r="H1301" s="17">
        <f>IFERROR(VLOOKUP(F1301,Hoja2!$K$2:$M$1198,3,FALSE),0)</f>
        <v>0</v>
      </c>
      <c r="I1301" s="3" t="s">
        <v>7</v>
      </c>
      <c r="J1301" s="3" t="s">
        <v>217</v>
      </c>
      <c r="K1301" s="3" t="s">
        <v>219</v>
      </c>
      <c r="L1301" s="12">
        <v>824081</v>
      </c>
      <c r="M1301" s="11">
        <v>2390312</v>
      </c>
    </row>
    <row r="1302" spans="1:13">
      <c r="A1302" s="15">
        <v>46235</v>
      </c>
      <c r="B1302" s="3" t="s">
        <v>19</v>
      </c>
      <c r="C1302" s="4" t="s">
        <v>129</v>
      </c>
      <c r="D1302" s="3" t="s">
        <v>115</v>
      </c>
      <c r="E1302" s="8" t="s">
        <v>186</v>
      </c>
      <c r="F1302" s="3" t="str">
        <f t="shared" si="20"/>
        <v>03810239</v>
      </c>
      <c r="G1302" s="17">
        <f>IFERROR(VLOOKUP(F1302,Hoja2!$K$2:$M$1198,2,FALSE),0)</f>
        <v>0</v>
      </c>
      <c r="H1302" s="17">
        <f>IFERROR(VLOOKUP(F1302,Hoja2!$K$2:$M$1198,3,FALSE),0)</f>
        <v>0</v>
      </c>
      <c r="I1302" s="3" t="s">
        <v>7</v>
      </c>
      <c r="J1302" s="3" t="s">
        <v>217</v>
      </c>
      <c r="K1302" s="3" t="s">
        <v>219</v>
      </c>
      <c r="L1302" s="12">
        <v>781267</v>
      </c>
      <c r="M1302" s="11">
        <v>2500029</v>
      </c>
    </row>
  </sheetData>
  <autoFilter ref="A1:M13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8"/>
  <sheetViews>
    <sheetView topLeftCell="A1172" workbookViewId="0">
      <selection activeCell="K2" sqref="K2:K1198"/>
    </sheetView>
  </sheetViews>
  <sheetFormatPr baseColWidth="10" defaultRowHeight="14.4"/>
  <cols>
    <col min="10" max="10" width="9.5546875" bestFit="1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6" t="s">
        <v>223</v>
      </c>
      <c r="B1" s="16" t="s">
        <v>224</v>
      </c>
      <c r="C1" s="16" t="s">
        <v>225</v>
      </c>
      <c r="D1" s="16" t="s">
        <v>226</v>
      </c>
      <c r="E1" s="16" t="s">
        <v>227</v>
      </c>
      <c r="F1" s="16" t="s">
        <v>228</v>
      </c>
      <c r="G1" s="16" t="s">
        <v>229</v>
      </c>
      <c r="H1" s="16" t="s">
        <v>230</v>
      </c>
      <c r="I1" s="16" t="s">
        <v>231</v>
      </c>
      <c r="J1" s="16" t="s">
        <v>232</v>
      </c>
      <c r="K1" s="16"/>
      <c r="L1" s="16" t="s">
        <v>233</v>
      </c>
      <c r="M1" s="16" t="s">
        <v>234</v>
      </c>
    </row>
    <row r="2" spans="1:13">
      <c r="A2" t="s">
        <v>116</v>
      </c>
      <c r="B2" t="s">
        <v>235</v>
      </c>
      <c r="C2" t="s">
        <v>147</v>
      </c>
      <c r="D2" t="s">
        <v>236</v>
      </c>
      <c r="E2" t="s">
        <v>237</v>
      </c>
      <c r="F2" t="s">
        <v>238</v>
      </c>
      <c r="G2" t="s">
        <v>7</v>
      </c>
      <c r="H2" t="s">
        <v>217</v>
      </c>
      <c r="I2" t="s">
        <v>217</v>
      </c>
      <c r="J2" t="s">
        <v>7</v>
      </c>
      <c r="K2" t="str">
        <f>A2&amp;C2</f>
        <v>00210022</v>
      </c>
      <c r="L2">
        <v>11001000</v>
      </c>
      <c r="M2">
        <v>25430000</v>
      </c>
    </row>
    <row r="3" spans="1:13">
      <c r="A3" t="s">
        <v>116</v>
      </c>
      <c r="B3" t="s">
        <v>235</v>
      </c>
      <c r="C3" t="s">
        <v>184</v>
      </c>
      <c r="D3" t="s">
        <v>239</v>
      </c>
      <c r="E3" t="s">
        <v>237</v>
      </c>
      <c r="F3" t="s">
        <v>238</v>
      </c>
      <c r="G3" t="s">
        <v>7</v>
      </c>
      <c r="H3" t="s">
        <v>217</v>
      </c>
      <c r="I3" t="s">
        <v>217</v>
      </c>
      <c r="J3" t="s">
        <v>7</v>
      </c>
      <c r="K3" t="str">
        <f t="shared" ref="K3:K66" si="0">A3&amp;C3</f>
        <v>00210024</v>
      </c>
      <c r="L3">
        <v>11001000</v>
      </c>
      <c r="M3">
        <v>25386000</v>
      </c>
    </row>
    <row r="4" spans="1:13">
      <c r="A4" t="s">
        <v>116</v>
      </c>
      <c r="B4" t="s">
        <v>235</v>
      </c>
      <c r="C4" t="s">
        <v>180</v>
      </c>
      <c r="D4" t="s">
        <v>240</v>
      </c>
      <c r="E4" t="s">
        <v>237</v>
      </c>
      <c r="F4" t="s">
        <v>238</v>
      </c>
      <c r="G4" t="s">
        <v>7</v>
      </c>
      <c r="H4" t="s">
        <v>217</v>
      </c>
      <c r="I4" t="s">
        <v>217</v>
      </c>
      <c r="J4" t="s">
        <v>7</v>
      </c>
      <c r="K4" t="str">
        <f t="shared" si="0"/>
        <v>00210025</v>
      </c>
      <c r="L4">
        <v>11001000</v>
      </c>
      <c r="M4">
        <v>25875000</v>
      </c>
    </row>
    <row r="5" spans="1:13">
      <c r="A5" t="s">
        <v>147</v>
      </c>
      <c r="B5" t="s">
        <v>236</v>
      </c>
      <c r="C5" t="s">
        <v>116</v>
      </c>
      <c r="D5" t="s">
        <v>235</v>
      </c>
      <c r="E5" t="s">
        <v>237</v>
      </c>
      <c r="F5" t="s">
        <v>238</v>
      </c>
      <c r="G5" t="s">
        <v>7</v>
      </c>
      <c r="H5" t="s">
        <v>217</v>
      </c>
      <c r="I5" t="s">
        <v>217</v>
      </c>
      <c r="J5" t="s">
        <v>7</v>
      </c>
      <c r="K5" t="str">
        <f t="shared" si="0"/>
        <v>00220021</v>
      </c>
      <c r="L5">
        <v>25430000</v>
      </c>
      <c r="M5">
        <v>11001000</v>
      </c>
    </row>
    <row r="6" spans="1:13">
      <c r="A6" t="s">
        <v>116</v>
      </c>
      <c r="B6" t="s">
        <v>235</v>
      </c>
      <c r="C6" t="s">
        <v>118</v>
      </c>
      <c r="D6" t="s">
        <v>112</v>
      </c>
      <c r="E6" t="s">
        <v>237</v>
      </c>
      <c r="F6" t="s">
        <v>238</v>
      </c>
      <c r="G6" t="s">
        <v>7</v>
      </c>
      <c r="H6" t="s">
        <v>217</v>
      </c>
      <c r="I6" t="s">
        <v>217</v>
      </c>
      <c r="J6" t="s">
        <v>7</v>
      </c>
      <c r="K6" t="str">
        <f t="shared" si="0"/>
        <v>00210079</v>
      </c>
      <c r="L6">
        <v>11001000</v>
      </c>
      <c r="M6">
        <v>5088000</v>
      </c>
    </row>
    <row r="7" spans="1:13">
      <c r="A7" t="s">
        <v>116</v>
      </c>
      <c r="B7" t="s">
        <v>235</v>
      </c>
      <c r="C7" t="s">
        <v>133</v>
      </c>
      <c r="D7" t="s">
        <v>241</v>
      </c>
      <c r="E7" t="s">
        <v>237</v>
      </c>
      <c r="F7" t="s">
        <v>238</v>
      </c>
      <c r="G7" t="s">
        <v>7</v>
      </c>
      <c r="H7" t="s">
        <v>217</v>
      </c>
      <c r="I7" t="s">
        <v>217</v>
      </c>
      <c r="J7" t="s">
        <v>7</v>
      </c>
      <c r="K7" t="str">
        <f t="shared" si="0"/>
        <v>00210090</v>
      </c>
      <c r="L7">
        <v>11001000</v>
      </c>
      <c r="M7">
        <v>5615000</v>
      </c>
    </row>
    <row r="8" spans="1:13">
      <c r="A8" t="s">
        <v>116</v>
      </c>
      <c r="B8" t="s">
        <v>235</v>
      </c>
      <c r="C8" t="s">
        <v>124</v>
      </c>
      <c r="D8" t="s">
        <v>242</v>
      </c>
      <c r="E8" t="s">
        <v>237</v>
      </c>
      <c r="F8" t="s">
        <v>238</v>
      </c>
      <c r="G8" t="s">
        <v>7</v>
      </c>
      <c r="H8" t="s">
        <v>217</v>
      </c>
      <c r="I8" t="s">
        <v>217</v>
      </c>
      <c r="J8" t="s">
        <v>7</v>
      </c>
      <c r="K8" t="str">
        <f t="shared" si="0"/>
        <v>00210092</v>
      </c>
      <c r="L8">
        <v>11001000</v>
      </c>
      <c r="M8">
        <v>5001000</v>
      </c>
    </row>
    <row r="9" spans="1:13">
      <c r="A9" t="s">
        <v>116</v>
      </c>
      <c r="B9" t="s">
        <v>235</v>
      </c>
      <c r="C9" t="s">
        <v>140</v>
      </c>
      <c r="D9" t="s">
        <v>243</v>
      </c>
      <c r="E9" t="s">
        <v>237</v>
      </c>
      <c r="F9" t="s">
        <v>238</v>
      </c>
      <c r="G9" t="s">
        <v>7</v>
      </c>
      <c r="H9" t="s">
        <v>217</v>
      </c>
      <c r="I9" t="s">
        <v>217</v>
      </c>
      <c r="J9" t="s">
        <v>7</v>
      </c>
      <c r="K9" t="str">
        <f t="shared" si="0"/>
        <v>00210113</v>
      </c>
      <c r="L9">
        <v>11001000</v>
      </c>
      <c r="M9">
        <v>13001000</v>
      </c>
    </row>
    <row r="10" spans="1:13">
      <c r="A10" t="s">
        <v>116</v>
      </c>
      <c r="B10" t="s">
        <v>235</v>
      </c>
      <c r="C10" t="s">
        <v>156</v>
      </c>
      <c r="D10" t="s">
        <v>244</v>
      </c>
      <c r="E10" t="s">
        <v>237</v>
      </c>
      <c r="F10" t="s">
        <v>238</v>
      </c>
      <c r="G10" t="s">
        <v>7</v>
      </c>
      <c r="H10" t="s">
        <v>217</v>
      </c>
      <c r="I10" t="s">
        <v>217</v>
      </c>
      <c r="J10" t="s">
        <v>7</v>
      </c>
      <c r="K10" t="str">
        <f t="shared" si="0"/>
        <v>00210118</v>
      </c>
      <c r="L10">
        <v>11001000</v>
      </c>
      <c r="M10">
        <v>47001000</v>
      </c>
    </row>
    <row r="11" spans="1:13">
      <c r="A11" t="s">
        <v>116</v>
      </c>
      <c r="B11" t="s">
        <v>235</v>
      </c>
      <c r="C11" t="s">
        <v>162</v>
      </c>
      <c r="D11" t="s">
        <v>245</v>
      </c>
      <c r="E11" t="s">
        <v>237</v>
      </c>
      <c r="F11" t="s">
        <v>238</v>
      </c>
      <c r="G11" t="s">
        <v>7</v>
      </c>
      <c r="H11" t="s">
        <v>217</v>
      </c>
      <c r="I11" t="s">
        <v>217</v>
      </c>
      <c r="J11" t="s">
        <v>7</v>
      </c>
      <c r="K11" t="str">
        <f t="shared" si="0"/>
        <v>00210126</v>
      </c>
      <c r="L11">
        <v>11001000</v>
      </c>
      <c r="M11">
        <v>19001000</v>
      </c>
    </row>
    <row r="12" spans="1:13">
      <c r="A12" t="s">
        <v>116</v>
      </c>
      <c r="B12" t="s">
        <v>235</v>
      </c>
      <c r="C12" t="s">
        <v>166</v>
      </c>
      <c r="D12" t="s">
        <v>246</v>
      </c>
      <c r="E12" t="s">
        <v>237</v>
      </c>
      <c r="F12" t="s">
        <v>238</v>
      </c>
      <c r="G12" t="s">
        <v>7</v>
      </c>
      <c r="H12" t="s">
        <v>217</v>
      </c>
      <c r="I12" t="s">
        <v>217</v>
      </c>
      <c r="J12" t="s">
        <v>7</v>
      </c>
      <c r="K12" t="str">
        <f t="shared" si="0"/>
        <v>00210131</v>
      </c>
      <c r="L12">
        <v>11001000</v>
      </c>
      <c r="M12">
        <v>76109000</v>
      </c>
    </row>
    <row r="13" spans="1:13">
      <c r="A13" t="s">
        <v>116</v>
      </c>
      <c r="B13" t="s">
        <v>235</v>
      </c>
      <c r="C13" t="s">
        <v>130</v>
      </c>
      <c r="D13" t="s">
        <v>247</v>
      </c>
      <c r="E13" t="s">
        <v>237</v>
      </c>
      <c r="F13" t="s">
        <v>238</v>
      </c>
      <c r="G13" t="s">
        <v>7</v>
      </c>
      <c r="H13" t="s">
        <v>217</v>
      </c>
      <c r="I13" t="s">
        <v>217</v>
      </c>
      <c r="J13" t="s">
        <v>7</v>
      </c>
      <c r="K13" t="str">
        <f t="shared" si="0"/>
        <v>00210134</v>
      </c>
      <c r="L13">
        <v>11001000</v>
      </c>
      <c r="M13">
        <v>66170000</v>
      </c>
    </row>
    <row r="14" spans="1:13">
      <c r="A14" t="s">
        <v>116</v>
      </c>
      <c r="B14" t="s">
        <v>235</v>
      </c>
      <c r="C14" t="s">
        <v>155</v>
      </c>
      <c r="D14" t="s">
        <v>248</v>
      </c>
      <c r="E14" t="s">
        <v>237</v>
      </c>
      <c r="F14" t="s">
        <v>238</v>
      </c>
      <c r="G14" t="s">
        <v>7</v>
      </c>
      <c r="H14" t="s">
        <v>217</v>
      </c>
      <c r="I14" t="s">
        <v>217</v>
      </c>
      <c r="J14" t="s">
        <v>7</v>
      </c>
      <c r="K14" t="str">
        <f t="shared" si="0"/>
        <v>00210142</v>
      </c>
      <c r="L14">
        <v>11001000</v>
      </c>
      <c r="M14">
        <v>63001000</v>
      </c>
    </row>
    <row r="15" spans="1:13">
      <c r="A15" t="s">
        <v>116</v>
      </c>
      <c r="B15" t="s">
        <v>235</v>
      </c>
      <c r="C15" t="s">
        <v>153</v>
      </c>
      <c r="D15" t="s">
        <v>249</v>
      </c>
      <c r="E15" t="s">
        <v>237</v>
      </c>
      <c r="F15" t="s">
        <v>238</v>
      </c>
      <c r="G15" t="s">
        <v>7</v>
      </c>
      <c r="H15" t="s">
        <v>217</v>
      </c>
      <c r="I15" t="s">
        <v>217</v>
      </c>
      <c r="J15" t="s">
        <v>7</v>
      </c>
      <c r="K15" t="str">
        <f t="shared" si="0"/>
        <v>00210145</v>
      </c>
      <c r="L15">
        <v>11001000</v>
      </c>
      <c r="M15">
        <v>17001000</v>
      </c>
    </row>
    <row r="16" spans="1:13">
      <c r="A16" t="s">
        <v>116</v>
      </c>
      <c r="B16" t="s">
        <v>235</v>
      </c>
      <c r="C16" t="s">
        <v>141</v>
      </c>
      <c r="D16" t="s">
        <v>250</v>
      </c>
      <c r="E16" t="s">
        <v>237</v>
      </c>
      <c r="F16" t="s">
        <v>238</v>
      </c>
      <c r="G16" t="s">
        <v>7</v>
      </c>
      <c r="H16" t="s">
        <v>217</v>
      </c>
      <c r="I16" t="s">
        <v>217</v>
      </c>
      <c r="J16" t="s">
        <v>7</v>
      </c>
      <c r="K16" t="str">
        <f t="shared" si="0"/>
        <v>00210198</v>
      </c>
      <c r="L16">
        <v>11001000</v>
      </c>
      <c r="M16">
        <v>66001000</v>
      </c>
    </row>
    <row r="17" spans="1:13">
      <c r="A17" t="s">
        <v>116</v>
      </c>
      <c r="B17" t="s">
        <v>235</v>
      </c>
      <c r="C17" t="s">
        <v>117</v>
      </c>
      <c r="D17" t="s">
        <v>251</v>
      </c>
      <c r="E17" t="s">
        <v>237</v>
      </c>
      <c r="F17" t="s">
        <v>238</v>
      </c>
      <c r="G17" t="s">
        <v>7</v>
      </c>
      <c r="H17" t="s">
        <v>217</v>
      </c>
      <c r="I17" t="s">
        <v>217</v>
      </c>
      <c r="J17" t="s">
        <v>7</v>
      </c>
      <c r="K17" t="str">
        <f t="shared" si="0"/>
        <v>00210410</v>
      </c>
      <c r="L17">
        <v>11001000</v>
      </c>
      <c r="M17">
        <v>76892000</v>
      </c>
    </row>
    <row r="18" spans="1:13">
      <c r="A18" t="s">
        <v>116</v>
      </c>
      <c r="B18" t="s">
        <v>235</v>
      </c>
      <c r="C18" t="s">
        <v>152</v>
      </c>
      <c r="D18" t="s">
        <v>252</v>
      </c>
      <c r="E18" t="s">
        <v>237</v>
      </c>
      <c r="F18" t="s">
        <v>238</v>
      </c>
      <c r="G18" t="s">
        <v>7</v>
      </c>
      <c r="H18" t="s">
        <v>217</v>
      </c>
      <c r="I18" t="s">
        <v>217</v>
      </c>
      <c r="J18" t="s">
        <v>7</v>
      </c>
      <c r="K18" t="str">
        <f t="shared" si="0"/>
        <v>00210411</v>
      </c>
      <c r="L18">
        <v>11001000</v>
      </c>
      <c r="M18">
        <v>76111000</v>
      </c>
    </row>
    <row r="19" spans="1:13">
      <c r="A19" t="s">
        <v>116</v>
      </c>
      <c r="B19" t="s">
        <v>235</v>
      </c>
      <c r="C19" t="s">
        <v>174</v>
      </c>
      <c r="D19" t="s">
        <v>253</v>
      </c>
      <c r="E19" t="s">
        <v>237</v>
      </c>
      <c r="F19" t="s">
        <v>238</v>
      </c>
      <c r="G19" t="s">
        <v>7</v>
      </c>
      <c r="H19" t="s">
        <v>217</v>
      </c>
      <c r="I19" t="s">
        <v>217</v>
      </c>
      <c r="J19" t="s">
        <v>7</v>
      </c>
      <c r="K19" t="str">
        <f t="shared" si="0"/>
        <v>00210412</v>
      </c>
      <c r="L19">
        <v>11001000</v>
      </c>
      <c r="M19">
        <v>76895000</v>
      </c>
    </row>
    <row r="20" spans="1:13">
      <c r="A20" t="s">
        <v>116</v>
      </c>
      <c r="B20" t="s">
        <v>235</v>
      </c>
      <c r="C20" t="s">
        <v>145</v>
      </c>
      <c r="D20" t="s">
        <v>254</v>
      </c>
      <c r="E20" t="s">
        <v>237</v>
      </c>
      <c r="F20" t="s">
        <v>238</v>
      </c>
      <c r="G20" t="s">
        <v>7</v>
      </c>
      <c r="H20" t="s">
        <v>217</v>
      </c>
      <c r="I20" t="s">
        <v>217</v>
      </c>
      <c r="J20" t="s">
        <v>7</v>
      </c>
      <c r="K20" t="str">
        <f t="shared" si="0"/>
        <v>00210358</v>
      </c>
      <c r="L20">
        <v>11001000</v>
      </c>
      <c r="M20">
        <v>76364000</v>
      </c>
    </row>
    <row r="21" spans="1:13">
      <c r="A21" t="s">
        <v>147</v>
      </c>
      <c r="B21" t="s">
        <v>236</v>
      </c>
      <c r="C21" t="s">
        <v>184</v>
      </c>
      <c r="D21" t="s">
        <v>239</v>
      </c>
      <c r="E21" t="s">
        <v>237</v>
      </c>
      <c r="F21" t="s">
        <v>238</v>
      </c>
      <c r="G21" t="s">
        <v>7</v>
      </c>
      <c r="H21" t="s">
        <v>217</v>
      </c>
      <c r="I21" t="s">
        <v>217</v>
      </c>
      <c r="J21" t="s">
        <v>7</v>
      </c>
      <c r="K21" t="str">
        <f t="shared" si="0"/>
        <v>00220024</v>
      </c>
      <c r="L21">
        <v>25430000</v>
      </c>
      <c r="M21">
        <v>11001000</v>
      </c>
    </row>
    <row r="22" spans="1:13">
      <c r="A22" t="s">
        <v>184</v>
      </c>
      <c r="B22" t="s">
        <v>239</v>
      </c>
      <c r="C22" t="s">
        <v>147</v>
      </c>
      <c r="D22" t="s">
        <v>236</v>
      </c>
      <c r="E22" t="s">
        <v>237</v>
      </c>
      <c r="F22" t="s">
        <v>238</v>
      </c>
      <c r="G22" t="s">
        <v>7</v>
      </c>
      <c r="H22" t="s">
        <v>217</v>
      </c>
      <c r="I22" t="s">
        <v>217</v>
      </c>
      <c r="J22" t="s">
        <v>7</v>
      </c>
      <c r="K22" t="str">
        <f t="shared" si="0"/>
        <v>00240022</v>
      </c>
      <c r="L22">
        <v>25386000</v>
      </c>
      <c r="M22">
        <v>11001000</v>
      </c>
    </row>
    <row r="23" spans="1:13">
      <c r="A23" t="s">
        <v>132</v>
      </c>
      <c r="B23" t="s">
        <v>255</v>
      </c>
      <c r="C23" t="s">
        <v>150</v>
      </c>
      <c r="D23" t="s">
        <v>256</v>
      </c>
      <c r="E23" t="s">
        <v>237</v>
      </c>
      <c r="F23" t="s">
        <v>238</v>
      </c>
      <c r="G23" t="s">
        <v>7</v>
      </c>
      <c r="H23" t="s">
        <v>217</v>
      </c>
      <c r="I23" t="s">
        <v>217</v>
      </c>
      <c r="J23" t="s">
        <v>7</v>
      </c>
      <c r="K23" t="str">
        <f t="shared" si="0"/>
        <v>04410394</v>
      </c>
      <c r="L23">
        <v>15238000</v>
      </c>
      <c r="M23">
        <v>50001000</v>
      </c>
    </row>
    <row r="24" spans="1:13">
      <c r="A24" t="s">
        <v>118</v>
      </c>
      <c r="B24" t="s">
        <v>112</v>
      </c>
      <c r="C24" t="s">
        <v>116</v>
      </c>
      <c r="D24" t="s">
        <v>235</v>
      </c>
      <c r="E24" t="s">
        <v>237</v>
      </c>
      <c r="F24" t="s">
        <v>238</v>
      </c>
      <c r="G24" t="s">
        <v>7</v>
      </c>
      <c r="H24" t="s">
        <v>217</v>
      </c>
      <c r="I24" t="s">
        <v>217</v>
      </c>
      <c r="J24" t="s">
        <v>7</v>
      </c>
      <c r="K24" t="str">
        <f t="shared" si="0"/>
        <v>00790021</v>
      </c>
      <c r="L24">
        <v>5088000</v>
      </c>
      <c r="M24">
        <v>11001000</v>
      </c>
    </row>
    <row r="25" spans="1:13">
      <c r="A25" t="s">
        <v>118</v>
      </c>
      <c r="B25" t="s">
        <v>112</v>
      </c>
      <c r="C25" t="s">
        <v>147</v>
      </c>
      <c r="D25" t="s">
        <v>236</v>
      </c>
      <c r="E25" t="s">
        <v>237</v>
      </c>
      <c r="F25" t="s">
        <v>238</v>
      </c>
      <c r="G25" t="s">
        <v>7</v>
      </c>
      <c r="H25" t="s">
        <v>217</v>
      </c>
      <c r="I25" t="s">
        <v>217</v>
      </c>
      <c r="J25" t="s">
        <v>7</v>
      </c>
      <c r="K25" t="str">
        <f t="shared" si="0"/>
        <v>00790022</v>
      </c>
      <c r="L25">
        <v>5088000</v>
      </c>
      <c r="M25">
        <v>25430000</v>
      </c>
    </row>
    <row r="26" spans="1:13">
      <c r="A26" t="s">
        <v>118</v>
      </c>
      <c r="B26" t="s">
        <v>112</v>
      </c>
      <c r="C26" t="s">
        <v>184</v>
      </c>
      <c r="D26" t="s">
        <v>239</v>
      </c>
      <c r="E26" t="s">
        <v>237</v>
      </c>
      <c r="F26" t="s">
        <v>238</v>
      </c>
      <c r="G26" t="s">
        <v>7</v>
      </c>
      <c r="H26" t="s">
        <v>217</v>
      </c>
      <c r="I26" t="s">
        <v>217</v>
      </c>
      <c r="J26" t="s">
        <v>7</v>
      </c>
      <c r="K26" t="str">
        <f t="shared" si="0"/>
        <v>00790024</v>
      </c>
      <c r="L26">
        <v>5088000</v>
      </c>
      <c r="M26">
        <v>11001000</v>
      </c>
    </row>
    <row r="27" spans="1:13">
      <c r="A27" t="s">
        <v>118</v>
      </c>
      <c r="B27" t="s">
        <v>112</v>
      </c>
      <c r="C27" t="s">
        <v>180</v>
      </c>
      <c r="D27" t="s">
        <v>240</v>
      </c>
      <c r="E27" t="s">
        <v>237</v>
      </c>
      <c r="F27" t="s">
        <v>238</v>
      </c>
      <c r="G27" t="s">
        <v>7</v>
      </c>
      <c r="H27" t="s">
        <v>217</v>
      </c>
      <c r="I27" t="s">
        <v>217</v>
      </c>
      <c r="J27" t="s">
        <v>7</v>
      </c>
      <c r="K27" t="str">
        <f t="shared" si="0"/>
        <v>00790025</v>
      </c>
      <c r="L27">
        <v>5088000</v>
      </c>
      <c r="M27">
        <v>11001000</v>
      </c>
    </row>
    <row r="28" spans="1:13">
      <c r="A28" t="s">
        <v>118</v>
      </c>
      <c r="B28" t="s">
        <v>112</v>
      </c>
      <c r="C28" t="s">
        <v>185</v>
      </c>
      <c r="D28" t="s">
        <v>257</v>
      </c>
      <c r="E28" t="s">
        <v>237</v>
      </c>
      <c r="F28" t="s">
        <v>238</v>
      </c>
      <c r="G28" t="s">
        <v>7</v>
      </c>
      <c r="H28" t="s">
        <v>217</v>
      </c>
      <c r="I28" t="s">
        <v>217</v>
      </c>
      <c r="J28" t="s">
        <v>7</v>
      </c>
      <c r="K28" t="str">
        <f t="shared" si="0"/>
        <v>00790080</v>
      </c>
      <c r="L28">
        <v>5088000</v>
      </c>
      <c r="M28">
        <v>5001000</v>
      </c>
    </row>
    <row r="29" spans="1:13">
      <c r="A29" t="s">
        <v>118</v>
      </c>
      <c r="B29" t="s">
        <v>112</v>
      </c>
      <c r="C29" t="s">
        <v>133</v>
      </c>
      <c r="D29" t="s">
        <v>241</v>
      </c>
      <c r="E29" t="s">
        <v>237</v>
      </c>
      <c r="F29" t="s">
        <v>238</v>
      </c>
      <c r="G29" t="s">
        <v>7</v>
      </c>
      <c r="H29" t="s">
        <v>217</v>
      </c>
      <c r="I29" t="s">
        <v>217</v>
      </c>
      <c r="J29" t="s">
        <v>7</v>
      </c>
      <c r="K29" t="str">
        <f t="shared" si="0"/>
        <v>00790090</v>
      </c>
      <c r="L29">
        <v>5088000</v>
      </c>
      <c r="M29">
        <v>5615000</v>
      </c>
    </row>
    <row r="30" spans="1:13">
      <c r="A30" t="s">
        <v>118</v>
      </c>
      <c r="B30" t="s">
        <v>112</v>
      </c>
      <c r="C30" t="s">
        <v>124</v>
      </c>
      <c r="D30" t="s">
        <v>242</v>
      </c>
      <c r="E30" t="s">
        <v>237</v>
      </c>
      <c r="F30" t="s">
        <v>238</v>
      </c>
      <c r="G30" t="s">
        <v>7</v>
      </c>
      <c r="H30" t="s">
        <v>217</v>
      </c>
      <c r="I30" t="s">
        <v>217</v>
      </c>
      <c r="J30" t="s">
        <v>7</v>
      </c>
      <c r="K30" t="str">
        <f t="shared" si="0"/>
        <v>00790092</v>
      </c>
      <c r="L30">
        <v>5088000</v>
      </c>
      <c r="M30">
        <v>5001000</v>
      </c>
    </row>
    <row r="31" spans="1:13">
      <c r="A31" t="s">
        <v>118</v>
      </c>
      <c r="B31" t="s">
        <v>112</v>
      </c>
      <c r="C31" t="s">
        <v>140</v>
      </c>
      <c r="D31" t="s">
        <v>243</v>
      </c>
      <c r="E31" t="s">
        <v>237</v>
      </c>
      <c r="F31" t="s">
        <v>238</v>
      </c>
      <c r="G31" t="s">
        <v>7</v>
      </c>
      <c r="H31" t="s">
        <v>217</v>
      </c>
      <c r="I31" t="s">
        <v>217</v>
      </c>
      <c r="J31" t="s">
        <v>7</v>
      </c>
      <c r="K31" t="str">
        <f t="shared" si="0"/>
        <v>00790113</v>
      </c>
      <c r="L31">
        <v>5088000</v>
      </c>
      <c r="M31">
        <v>13001000</v>
      </c>
    </row>
    <row r="32" spans="1:13">
      <c r="A32" t="s">
        <v>118</v>
      </c>
      <c r="B32" t="s">
        <v>112</v>
      </c>
      <c r="C32" t="s">
        <v>156</v>
      </c>
      <c r="D32" t="s">
        <v>244</v>
      </c>
      <c r="E32" t="s">
        <v>237</v>
      </c>
      <c r="F32" t="s">
        <v>238</v>
      </c>
      <c r="G32" t="s">
        <v>7</v>
      </c>
      <c r="H32" t="s">
        <v>217</v>
      </c>
      <c r="I32" t="s">
        <v>217</v>
      </c>
      <c r="J32" t="s">
        <v>7</v>
      </c>
      <c r="K32" t="str">
        <f t="shared" si="0"/>
        <v>00790118</v>
      </c>
      <c r="L32">
        <v>5088000</v>
      </c>
      <c r="M32">
        <v>47001000</v>
      </c>
    </row>
    <row r="33" spans="1:13">
      <c r="A33" t="s">
        <v>118</v>
      </c>
      <c r="B33" t="s">
        <v>112</v>
      </c>
      <c r="C33" t="s">
        <v>162</v>
      </c>
      <c r="D33" t="s">
        <v>245</v>
      </c>
      <c r="E33" t="s">
        <v>237</v>
      </c>
      <c r="F33" t="s">
        <v>238</v>
      </c>
      <c r="G33" t="s">
        <v>7</v>
      </c>
      <c r="H33" t="s">
        <v>217</v>
      </c>
      <c r="I33" t="s">
        <v>217</v>
      </c>
      <c r="J33" t="s">
        <v>7</v>
      </c>
      <c r="K33" t="str">
        <f t="shared" si="0"/>
        <v>00790126</v>
      </c>
      <c r="L33">
        <v>5088000</v>
      </c>
      <c r="M33">
        <v>76001000</v>
      </c>
    </row>
    <row r="34" spans="1:13">
      <c r="A34" t="s">
        <v>118</v>
      </c>
      <c r="B34" t="s">
        <v>112</v>
      </c>
      <c r="C34" t="s">
        <v>166</v>
      </c>
      <c r="D34" t="s">
        <v>246</v>
      </c>
      <c r="E34" t="s">
        <v>237</v>
      </c>
      <c r="F34" t="s">
        <v>238</v>
      </c>
      <c r="G34" t="s">
        <v>7</v>
      </c>
      <c r="H34" t="s">
        <v>217</v>
      </c>
      <c r="I34" t="s">
        <v>217</v>
      </c>
      <c r="J34" t="s">
        <v>7</v>
      </c>
      <c r="K34" t="str">
        <f t="shared" si="0"/>
        <v>00790131</v>
      </c>
      <c r="L34">
        <v>5088000</v>
      </c>
      <c r="M34">
        <v>76109000</v>
      </c>
    </row>
    <row r="35" spans="1:13">
      <c r="A35" t="s">
        <v>118</v>
      </c>
      <c r="B35" t="s">
        <v>112</v>
      </c>
      <c r="C35" t="s">
        <v>130</v>
      </c>
      <c r="D35" t="s">
        <v>247</v>
      </c>
      <c r="E35" t="s">
        <v>237</v>
      </c>
      <c r="F35" t="s">
        <v>238</v>
      </c>
      <c r="G35" t="s">
        <v>7</v>
      </c>
      <c r="H35" t="s">
        <v>217</v>
      </c>
      <c r="I35" t="s">
        <v>217</v>
      </c>
      <c r="J35" t="s">
        <v>7</v>
      </c>
      <c r="K35" t="str">
        <f t="shared" si="0"/>
        <v>00790134</v>
      </c>
      <c r="L35">
        <v>5001000</v>
      </c>
      <c r="M35">
        <v>66170000</v>
      </c>
    </row>
    <row r="36" spans="1:13">
      <c r="A36" t="s">
        <v>118</v>
      </c>
      <c r="B36" t="s">
        <v>112</v>
      </c>
      <c r="C36" t="s">
        <v>155</v>
      </c>
      <c r="D36" t="s">
        <v>248</v>
      </c>
      <c r="E36" t="s">
        <v>237</v>
      </c>
      <c r="F36" t="s">
        <v>238</v>
      </c>
      <c r="G36" t="s">
        <v>7</v>
      </c>
      <c r="H36" t="s">
        <v>217</v>
      </c>
      <c r="I36" t="s">
        <v>217</v>
      </c>
      <c r="J36" t="s">
        <v>7</v>
      </c>
      <c r="K36" t="str">
        <f t="shared" si="0"/>
        <v>00790142</v>
      </c>
      <c r="L36">
        <v>5001000</v>
      </c>
      <c r="M36">
        <v>63001000</v>
      </c>
    </row>
    <row r="37" spans="1:13">
      <c r="A37" t="s">
        <v>118</v>
      </c>
      <c r="B37" t="s">
        <v>112</v>
      </c>
      <c r="C37" t="s">
        <v>153</v>
      </c>
      <c r="D37" t="s">
        <v>249</v>
      </c>
      <c r="E37" t="s">
        <v>237</v>
      </c>
      <c r="F37" t="s">
        <v>238</v>
      </c>
      <c r="G37" t="s">
        <v>7</v>
      </c>
      <c r="H37" t="s">
        <v>217</v>
      </c>
      <c r="I37" t="s">
        <v>217</v>
      </c>
      <c r="J37" t="s">
        <v>7</v>
      </c>
      <c r="K37" t="str">
        <f t="shared" si="0"/>
        <v>00790145</v>
      </c>
      <c r="L37">
        <v>5088000</v>
      </c>
      <c r="M37">
        <v>17001000</v>
      </c>
    </row>
    <row r="38" spans="1:13">
      <c r="A38" t="s">
        <v>118</v>
      </c>
      <c r="B38" t="s">
        <v>112</v>
      </c>
      <c r="C38" t="s">
        <v>141</v>
      </c>
      <c r="D38" t="s">
        <v>250</v>
      </c>
      <c r="E38" t="s">
        <v>237</v>
      </c>
      <c r="F38" t="s">
        <v>238</v>
      </c>
      <c r="G38" t="s">
        <v>7</v>
      </c>
      <c r="H38" t="s">
        <v>217</v>
      </c>
      <c r="I38" t="s">
        <v>217</v>
      </c>
      <c r="J38" t="s">
        <v>7</v>
      </c>
      <c r="K38" t="str">
        <f t="shared" si="0"/>
        <v>00790198</v>
      </c>
      <c r="L38">
        <v>5001000</v>
      </c>
      <c r="M38">
        <v>66001000</v>
      </c>
    </row>
    <row r="39" spans="1:13">
      <c r="A39" t="s">
        <v>118</v>
      </c>
      <c r="B39" t="s">
        <v>112</v>
      </c>
      <c r="C39" t="s">
        <v>172</v>
      </c>
      <c r="D39" t="s">
        <v>258</v>
      </c>
      <c r="E39" t="s">
        <v>237</v>
      </c>
      <c r="F39" t="s">
        <v>238</v>
      </c>
      <c r="G39" t="s">
        <v>7</v>
      </c>
      <c r="H39" t="s">
        <v>217</v>
      </c>
      <c r="I39" t="s">
        <v>217</v>
      </c>
      <c r="J39" t="s">
        <v>7</v>
      </c>
      <c r="K39" t="str">
        <f t="shared" si="0"/>
        <v>00790230</v>
      </c>
      <c r="L39">
        <v>5001000</v>
      </c>
      <c r="M39">
        <v>44430000</v>
      </c>
    </row>
    <row r="40" spans="1:13">
      <c r="A40" t="s">
        <v>185</v>
      </c>
      <c r="B40" t="s">
        <v>257</v>
      </c>
      <c r="C40" t="s">
        <v>118</v>
      </c>
      <c r="D40" t="s">
        <v>112</v>
      </c>
      <c r="E40" t="s">
        <v>237</v>
      </c>
      <c r="F40" t="s">
        <v>238</v>
      </c>
      <c r="G40" t="s">
        <v>7</v>
      </c>
      <c r="H40" t="s">
        <v>217</v>
      </c>
      <c r="I40" t="s">
        <v>217</v>
      </c>
      <c r="J40" t="s">
        <v>7</v>
      </c>
      <c r="K40" t="str">
        <f t="shared" si="0"/>
        <v>00800079</v>
      </c>
      <c r="L40">
        <v>5042000</v>
      </c>
      <c r="M40">
        <v>5001000</v>
      </c>
    </row>
    <row r="41" spans="1:13">
      <c r="A41" t="s">
        <v>118</v>
      </c>
      <c r="B41" t="s">
        <v>112</v>
      </c>
      <c r="C41" t="s">
        <v>117</v>
      </c>
      <c r="D41" t="s">
        <v>251</v>
      </c>
      <c r="E41" t="s">
        <v>237</v>
      </c>
      <c r="F41" t="s">
        <v>238</v>
      </c>
      <c r="G41" t="s">
        <v>7</v>
      </c>
      <c r="H41" t="s">
        <v>217</v>
      </c>
      <c r="I41" t="s">
        <v>217</v>
      </c>
      <c r="J41" t="s">
        <v>7</v>
      </c>
      <c r="K41" t="str">
        <f t="shared" si="0"/>
        <v>00790410</v>
      </c>
      <c r="L41">
        <v>5088000</v>
      </c>
      <c r="M41">
        <v>76892000</v>
      </c>
    </row>
    <row r="42" spans="1:13">
      <c r="A42" t="s">
        <v>118</v>
      </c>
      <c r="B42" t="s">
        <v>112</v>
      </c>
      <c r="C42" t="s">
        <v>152</v>
      </c>
      <c r="D42" t="s">
        <v>252</v>
      </c>
      <c r="E42" t="s">
        <v>237</v>
      </c>
      <c r="F42" t="s">
        <v>238</v>
      </c>
      <c r="G42" t="s">
        <v>7</v>
      </c>
      <c r="H42" t="s">
        <v>217</v>
      </c>
      <c r="I42" t="s">
        <v>217</v>
      </c>
      <c r="J42" t="s">
        <v>7</v>
      </c>
      <c r="K42" t="str">
        <f t="shared" si="0"/>
        <v>00790411</v>
      </c>
      <c r="L42">
        <v>5088000</v>
      </c>
      <c r="M42">
        <v>76111000</v>
      </c>
    </row>
    <row r="43" spans="1:13">
      <c r="A43" t="s">
        <v>118</v>
      </c>
      <c r="B43" t="s">
        <v>112</v>
      </c>
      <c r="C43" t="s">
        <v>145</v>
      </c>
      <c r="D43" t="s">
        <v>254</v>
      </c>
      <c r="E43" t="s">
        <v>237</v>
      </c>
      <c r="F43" t="s">
        <v>238</v>
      </c>
      <c r="G43" t="s">
        <v>7</v>
      </c>
      <c r="H43" t="s">
        <v>217</v>
      </c>
      <c r="I43" t="s">
        <v>217</v>
      </c>
      <c r="J43" t="s">
        <v>7</v>
      </c>
      <c r="K43" t="str">
        <f t="shared" si="0"/>
        <v>00790358</v>
      </c>
      <c r="L43">
        <v>5088000</v>
      </c>
      <c r="M43">
        <v>76001000</v>
      </c>
    </row>
    <row r="44" spans="1:13">
      <c r="A44" t="s">
        <v>133</v>
      </c>
      <c r="B44" t="s">
        <v>241</v>
      </c>
      <c r="C44" t="s">
        <v>116</v>
      </c>
      <c r="D44" t="s">
        <v>235</v>
      </c>
      <c r="E44" t="s">
        <v>237</v>
      </c>
      <c r="F44" t="s">
        <v>238</v>
      </c>
      <c r="G44" t="s">
        <v>7</v>
      </c>
      <c r="H44" t="s">
        <v>217</v>
      </c>
      <c r="I44" t="s">
        <v>217</v>
      </c>
      <c r="J44" t="s">
        <v>7</v>
      </c>
      <c r="K44" t="str">
        <f t="shared" si="0"/>
        <v>00900021</v>
      </c>
      <c r="L44">
        <v>5615000</v>
      </c>
      <c r="M44">
        <v>11001000</v>
      </c>
    </row>
    <row r="45" spans="1:13">
      <c r="A45" t="s">
        <v>133</v>
      </c>
      <c r="B45" t="s">
        <v>241</v>
      </c>
      <c r="C45" t="s">
        <v>132</v>
      </c>
      <c r="D45" t="s">
        <v>255</v>
      </c>
      <c r="E45" t="s">
        <v>237</v>
      </c>
      <c r="F45" t="s">
        <v>238</v>
      </c>
      <c r="G45" t="s">
        <v>7</v>
      </c>
      <c r="H45" t="s">
        <v>217</v>
      </c>
      <c r="I45" t="s">
        <v>217</v>
      </c>
      <c r="J45" t="s">
        <v>7</v>
      </c>
      <c r="K45" t="str">
        <f t="shared" si="0"/>
        <v>00900441</v>
      </c>
      <c r="L45">
        <v>5615000</v>
      </c>
      <c r="M45">
        <v>11001000</v>
      </c>
    </row>
    <row r="46" spans="1:13">
      <c r="A46" t="s">
        <v>133</v>
      </c>
      <c r="B46" t="s">
        <v>241</v>
      </c>
      <c r="C46" t="s">
        <v>118</v>
      </c>
      <c r="D46" t="s">
        <v>112</v>
      </c>
      <c r="E46" t="s">
        <v>237</v>
      </c>
      <c r="F46" t="s">
        <v>238</v>
      </c>
      <c r="G46" t="s">
        <v>7</v>
      </c>
      <c r="H46" t="s">
        <v>217</v>
      </c>
      <c r="I46" t="s">
        <v>217</v>
      </c>
      <c r="J46" t="s">
        <v>7</v>
      </c>
      <c r="K46" t="str">
        <f t="shared" si="0"/>
        <v>00900079</v>
      </c>
      <c r="L46">
        <v>5615000</v>
      </c>
      <c r="M46">
        <v>5088000</v>
      </c>
    </row>
    <row r="47" spans="1:13">
      <c r="A47" t="s">
        <v>133</v>
      </c>
      <c r="B47" t="s">
        <v>241</v>
      </c>
      <c r="C47" t="s">
        <v>124</v>
      </c>
      <c r="D47" t="s">
        <v>242</v>
      </c>
      <c r="E47" t="s">
        <v>237</v>
      </c>
      <c r="F47" t="s">
        <v>238</v>
      </c>
      <c r="G47" t="s">
        <v>7</v>
      </c>
      <c r="H47" t="s">
        <v>217</v>
      </c>
      <c r="I47" t="s">
        <v>217</v>
      </c>
      <c r="J47" t="s">
        <v>7</v>
      </c>
      <c r="K47" t="str">
        <f t="shared" si="0"/>
        <v>00900092</v>
      </c>
      <c r="L47">
        <v>5615000</v>
      </c>
      <c r="M47">
        <v>5001000</v>
      </c>
    </row>
    <row r="48" spans="1:13">
      <c r="A48" t="s">
        <v>133</v>
      </c>
      <c r="B48" t="s">
        <v>241</v>
      </c>
      <c r="C48" t="s">
        <v>172</v>
      </c>
      <c r="D48" t="s">
        <v>258</v>
      </c>
      <c r="E48" t="s">
        <v>237</v>
      </c>
      <c r="F48" t="s">
        <v>238</v>
      </c>
      <c r="G48" t="s">
        <v>7</v>
      </c>
      <c r="H48" t="s">
        <v>217</v>
      </c>
      <c r="I48" t="s">
        <v>217</v>
      </c>
      <c r="J48" t="s">
        <v>7</v>
      </c>
      <c r="K48" t="str">
        <f t="shared" si="0"/>
        <v>00900230</v>
      </c>
      <c r="L48">
        <v>5001000</v>
      </c>
      <c r="M48">
        <v>44430000</v>
      </c>
    </row>
    <row r="49" spans="1:13">
      <c r="A49" t="s">
        <v>133</v>
      </c>
      <c r="B49" t="s">
        <v>241</v>
      </c>
      <c r="C49" t="s">
        <v>117</v>
      </c>
      <c r="D49" t="s">
        <v>251</v>
      </c>
      <c r="E49" t="s">
        <v>237</v>
      </c>
      <c r="F49" t="s">
        <v>238</v>
      </c>
      <c r="G49" t="s">
        <v>7</v>
      </c>
      <c r="H49" t="s">
        <v>217</v>
      </c>
      <c r="I49" t="s">
        <v>217</v>
      </c>
      <c r="J49" t="s">
        <v>7</v>
      </c>
      <c r="K49" t="str">
        <f t="shared" si="0"/>
        <v>00900410</v>
      </c>
      <c r="L49">
        <v>5615000</v>
      </c>
      <c r="M49">
        <v>76892000</v>
      </c>
    </row>
    <row r="50" spans="1:13">
      <c r="A50" t="s">
        <v>124</v>
      </c>
      <c r="B50" t="s">
        <v>242</v>
      </c>
      <c r="C50" t="s">
        <v>116</v>
      </c>
      <c r="D50" t="s">
        <v>235</v>
      </c>
      <c r="E50" t="s">
        <v>237</v>
      </c>
      <c r="F50" t="s">
        <v>238</v>
      </c>
      <c r="G50" t="s">
        <v>7</v>
      </c>
      <c r="H50" t="s">
        <v>217</v>
      </c>
      <c r="I50" t="s">
        <v>217</v>
      </c>
      <c r="J50" t="s">
        <v>7</v>
      </c>
      <c r="K50" t="str">
        <f t="shared" si="0"/>
        <v>00920021</v>
      </c>
      <c r="L50">
        <v>5001000</v>
      </c>
      <c r="M50">
        <v>11001000</v>
      </c>
    </row>
    <row r="51" spans="1:13">
      <c r="A51" t="s">
        <v>124</v>
      </c>
      <c r="B51" t="s">
        <v>242</v>
      </c>
      <c r="C51" t="s">
        <v>147</v>
      </c>
      <c r="D51" t="s">
        <v>236</v>
      </c>
      <c r="E51" t="s">
        <v>237</v>
      </c>
      <c r="F51" t="s">
        <v>238</v>
      </c>
      <c r="G51" t="s">
        <v>7</v>
      </c>
      <c r="H51" t="s">
        <v>217</v>
      </c>
      <c r="I51" t="s">
        <v>217</v>
      </c>
      <c r="J51" t="s">
        <v>7</v>
      </c>
      <c r="K51" t="str">
        <f t="shared" si="0"/>
        <v>00920022</v>
      </c>
      <c r="L51">
        <v>5001000</v>
      </c>
      <c r="M51">
        <v>25430000</v>
      </c>
    </row>
    <row r="52" spans="1:13">
      <c r="A52" t="s">
        <v>124</v>
      </c>
      <c r="B52" t="s">
        <v>242</v>
      </c>
      <c r="C52" t="s">
        <v>184</v>
      </c>
      <c r="D52" t="s">
        <v>239</v>
      </c>
      <c r="E52" t="s">
        <v>237</v>
      </c>
      <c r="F52" t="s">
        <v>238</v>
      </c>
      <c r="G52" t="s">
        <v>7</v>
      </c>
      <c r="H52" t="s">
        <v>217</v>
      </c>
      <c r="I52" t="s">
        <v>217</v>
      </c>
      <c r="J52" t="s">
        <v>7</v>
      </c>
      <c r="K52" t="str">
        <f t="shared" si="0"/>
        <v>00920024</v>
      </c>
      <c r="L52">
        <v>5001000</v>
      </c>
      <c r="M52">
        <v>11001000</v>
      </c>
    </row>
    <row r="53" spans="1:13">
      <c r="A53" t="s">
        <v>124</v>
      </c>
      <c r="B53" t="s">
        <v>242</v>
      </c>
      <c r="C53" t="s">
        <v>180</v>
      </c>
      <c r="D53" t="s">
        <v>240</v>
      </c>
      <c r="E53" t="s">
        <v>237</v>
      </c>
      <c r="F53" t="s">
        <v>238</v>
      </c>
      <c r="G53" t="s">
        <v>7</v>
      </c>
      <c r="H53" t="s">
        <v>217</v>
      </c>
      <c r="I53" t="s">
        <v>217</v>
      </c>
      <c r="J53" t="s">
        <v>7</v>
      </c>
      <c r="K53" t="str">
        <f t="shared" si="0"/>
        <v>00920025</v>
      </c>
      <c r="L53">
        <v>5001000</v>
      </c>
      <c r="M53">
        <v>11001000</v>
      </c>
    </row>
    <row r="54" spans="1:13">
      <c r="A54" t="s">
        <v>124</v>
      </c>
      <c r="B54" t="s">
        <v>242</v>
      </c>
      <c r="C54" t="s">
        <v>140</v>
      </c>
      <c r="D54" t="s">
        <v>243</v>
      </c>
      <c r="E54" t="s">
        <v>237</v>
      </c>
      <c r="F54" t="s">
        <v>238</v>
      </c>
      <c r="G54" t="s">
        <v>7</v>
      </c>
      <c r="H54" t="s">
        <v>217</v>
      </c>
      <c r="I54" t="s">
        <v>217</v>
      </c>
      <c r="J54" t="s">
        <v>7</v>
      </c>
      <c r="K54" t="str">
        <f t="shared" si="0"/>
        <v>00920113</v>
      </c>
      <c r="L54">
        <v>5001000</v>
      </c>
      <c r="M54">
        <v>13001000</v>
      </c>
    </row>
    <row r="55" spans="1:13">
      <c r="A55" t="s">
        <v>124</v>
      </c>
      <c r="B55" t="s">
        <v>242</v>
      </c>
      <c r="C55" t="s">
        <v>156</v>
      </c>
      <c r="D55" t="s">
        <v>244</v>
      </c>
      <c r="E55" t="s">
        <v>237</v>
      </c>
      <c r="F55" t="s">
        <v>238</v>
      </c>
      <c r="G55" t="s">
        <v>7</v>
      </c>
      <c r="H55" t="s">
        <v>217</v>
      </c>
      <c r="I55" t="s">
        <v>217</v>
      </c>
      <c r="J55" t="s">
        <v>7</v>
      </c>
      <c r="K55" t="str">
        <f t="shared" si="0"/>
        <v>00920118</v>
      </c>
      <c r="L55">
        <v>5001000</v>
      </c>
      <c r="M55">
        <v>47001000</v>
      </c>
    </row>
    <row r="56" spans="1:13">
      <c r="A56" t="s">
        <v>124</v>
      </c>
      <c r="B56" t="s">
        <v>242</v>
      </c>
      <c r="C56" t="s">
        <v>162</v>
      </c>
      <c r="D56" t="s">
        <v>245</v>
      </c>
      <c r="E56" t="s">
        <v>237</v>
      </c>
      <c r="F56" t="s">
        <v>238</v>
      </c>
      <c r="G56" t="s">
        <v>7</v>
      </c>
      <c r="H56" t="s">
        <v>217</v>
      </c>
      <c r="I56" t="s">
        <v>217</v>
      </c>
      <c r="J56" t="s">
        <v>7</v>
      </c>
      <c r="K56" t="str">
        <f t="shared" si="0"/>
        <v>00920126</v>
      </c>
      <c r="L56">
        <v>5001000</v>
      </c>
      <c r="M56">
        <v>19001000</v>
      </c>
    </row>
    <row r="57" spans="1:13">
      <c r="A57" t="s">
        <v>124</v>
      </c>
      <c r="B57" t="s">
        <v>242</v>
      </c>
      <c r="C57" t="s">
        <v>166</v>
      </c>
      <c r="D57" t="s">
        <v>246</v>
      </c>
      <c r="E57" t="s">
        <v>237</v>
      </c>
      <c r="F57" t="s">
        <v>238</v>
      </c>
      <c r="G57" t="s">
        <v>7</v>
      </c>
      <c r="H57" t="s">
        <v>217</v>
      </c>
      <c r="I57" t="s">
        <v>217</v>
      </c>
      <c r="J57" t="s">
        <v>7</v>
      </c>
      <c r="K57" t="str">
        <f t="shared" si="0"/>
        <v>00920131</v>
      </c>
      <c r="L57">
        <v>5001000</v>
      </c>
      <c r="M57">
        <v>76109000</v>
      </c>
    </row>
    <row r="58" spans="1:13">
      <c r="A58" t="s">
        <v>124</v>
      </c>
      <c r="B58" t="s">
        <v>242</v>
      </c>
      <c r="C58" t="s">
        <v>130</v>
      </c>
      <c r="D58" t="s">
        <v>247</v>
      </c>
      <c r="E58" t="s">
        <v>237</v>
      </c>
      <c r="F58" t="s">
        <v>238</v>
      </c>
      <c r="G58" t="s">
        <v>7</v>
      </c>
      <c r="H58" t="s">
        <v>217</v>
      </c>
      <c r="I58" t="s">
        <v>217</v>
      </c>
      <c r="J58" t="s">
        <v>7</v>
      </c>
      <c r="K58" t="str">
        <f t="shared" si="0"/>
        <v>00920134</v>
      </c>
      <c r="L58">
        <v>5001000</v>
      </c>
      <c r="M58">
        <v>66170000</v>
      </c>
    </row>
    <row r="59" spans="1:13">
      <c r="A59" t="s">
        <v>124</v>
      </c>
      <c r="B59" t="s">
        <v>242</v>
      </c>
      <c r="C59" t="s">
        <v>155</v>
      </c>
      <c r="D59" t="s">
        <v>248</v>
      </c>
      <c r="E59" t="s">
        <v>237</v>
      </c>
      <c r="F59" t="s">
        <v>238</v>
      </c>
      <c r="G59" t="s">
        <v>7</v>
      </c>
      <c r="H59" t="s">
        <v>217</v>
      </c>
      <c r="I59" t="s">
        <v>217</v>
      </c>
      <c r="J59" t="s">
        <v>7</v>
      </c>
      <c r="K59" t="str">
        <f t="shared" si="0"/>
        <v>00920142</v>
      </c>
      <c r="L59">
        <v>5001000</v>
      </c>
      <c r="M59">
        <v>63001000</v>
      </c>
    </row>
    <row r="60" spans="1:13">
      <c r="A60" t="s">
        <v>124</v>
      </c>
      <c r="B60" t="s">
        <v>242</v>
      </c>
      <c r="C60" t="s">
        <v>153</v>
      </c>
      <c r="D60" t="s">
        <v>249</v>
      </c>
      <c r="E60" t="s">
        <v>237</v>
      </c>
      <c r="F60" t="s">
        <v>238</v>
      </c>
      <c r="G60" t="s">
        <v>7</v>
      </c>
      <c r="H60" t="s">
        <v>217</v>
      </c>
      <c r="I60" t="s">
        <v>217</v>
      </c>
      <c r="J60" t="s">
        <v>7</v>
      </c>
      <c r="K60" t="str">
        <f t="shared" si="0"/>
        <v>00920145</v>
      </c>
      <c r="L60">
        <v>5001000</v>
      </c>
      <c r="M60">
        <v>17001000</v>
      </c>
    </row>
    <row r="61" spans="1:13">
      <c r="A61" t="s">
        <v>124</v>
      </c>
      <c r="B61" t="s">
        <v>242</v>
      </c>
      <c r="C61" t="s">
        <v>141</v>
      </c>
      <c r="D61" t="s">
        <v>250</v>
      </c>
      <c r="E61" t="s">
        <v>237</v>
      </c>
      <c r="F61" t="s">
        <v>238</v>
      </c>
      <c r="G61" t="s">
        <v>7</v>
      </c>
      <c r="H61" t="s">
        <v>217</v>
      </c>
      <c r="I61" t="s">
        <v>217</v>
      </c>
      <c r="J61" t="s">
        <v>7</v>
      </c>
      <c r="K61" t="str">
        <f t="shared" si="0"/>
        <v>00920198</v>
      </c>
      <c r="L61">
        <v>5001000</v>
      </c>
      <c r="M61">
        <v>66001000</v>
      </c>
    </row>
    <row r="62" spans="1:13">
      <c r="A62" t="s">
        <v>124</v>
      </c>
      <c r="B62" t="s">
        <v>242</v>
      </c>
      <c r="C62" t="s">
        <v>172</v>
      </c>
      <c r="D62" t="s">
        <v>258</v>
      </c>
      <c r="E62" t="s">
        <v>237</v>
      </c>
      <c r="F62" t="s">
        <v>238</v>
      </c>
      <c r="G62" t="s">
        <v>7</v>
      </c>
      <c r="H62" t="s">
        <v>217</v>
      </c>
      <c r="I62" t="s">
        <v>217</v>
      </c>
      <c r="J62" t="s">
        <v>7</v>
      </c>
      <c r="K62" t="str">
        <f t="shared" si="0"/>
        <v>00920230</v>
      </c>
      <c r="L62">
        <v>5001000</v>
      </c>
      <c r="M62">
        <v>44430000</v>
      </c>
    </row>
    <row r="63" spans="1:13">
      <c r="A63" t="s">
        <v>124</v>
      </c>
      <c r="B63" t="s">
        <v>242</v>
      </c>
      <c r="C63" t="s">
        <v>117</v>
      </c>
      <c r="D63" t="s">
        <v>251</v>
      </c>
      <c r="E63" t="s">
        <v>237</v>
      </c>
      <c r="F63" t="s">
        <v>238</v>
      </c>
      <c r="G63" t="s">
        <v>7</v>
      </c>
      <c r="H63" t="s">
        <v>217</v>
      </c>
      <c r="I63" t="s">
        <v>217</v>
      </c>
      <c r="J63" t="s">
        <v>7</v>
      </c>
      <c r="K63" t="str">
        <f t="shared" si="0"/>
        <v>00920410</v>
      </c>
      <c r="L63">
        <v>5001000</v>
      </c>
      <c r="M63">
        <v>76892000</v>
      </c>
    </row>
    <row r="64" spans="1:13">
      <c r="A64" t="s">
        <v>124</v>
      </c>
      <c r="B64" t="s">
        <v>242</v>
      </c>
      <c r="C64" t="s">
        <v>152</v>
      </c>
      <c r="D64" t="s">
        <v>252</v>
      </c>
      <c r="E64" t="s">
        <v>237</v>
      </c>
      <c r="F64" t="s">
        <v>238</v>
      </c>
      <c r="G64" t="s">
        <v>7</v>
      </c>
      <c r="H64" t="s">
        <v>217</v>
      </c>
      <c r="I64" t="s">
        <v>217</v>
      </c>
      <c r="J64" t="s">
        <v>7</v>
      </c>
      <c r="K64" t="str">
        <f t="shared" si="0"/>
        <v>00920411</v>
      </c>
      <c r="L64">
        <v>5001000</v>
      </c>
      <c r="M64">
        <v>76111000</v>
      </c>
    </row>
    <row r="65" spans="1:13">
      <c r="A65" t="s">
        <v>124</v>
      </c>
      <c r="B65" t="s">
        <v>242</v>
      </c>
      <c r="C65" t="s">
        <v>145</v>
      </c>
      <c r="D65" t="s">
        <v>254</v>
      </c>
      <c r="E65" t="s">
        <v>237</v>
      </c>
      <c r="F65" t="s">
        <v>238</v>
      </c>
      <c r="G65" t="s">
        <v>7</v>
      </c>
      <c r="H65" t="s">
        <v>217</v>
      </c>
      <c r="I65" t="s">
        <v>217</v>
      </c>
      <c r="J65" t="s">
        <v>7</v>
      </c>
      <c r="K65" t="str">
        <f t="shared" si="0"/>
        <v>00920358</v>
      </c>
      <c r="L65">
        <v>5001000</v>
      </c>
      <c r="M65">
        <v>76001000</v>
      </c>
    </row>
    <row r="66" spans="1:13">
      <c r="A66" t="s">
        <v>140</v>
      </c>
      <c r="B66" t="s">
        <v>243</v>
      </c>
      <c r="C66" t="s">
        <v>116</v>
      </c>
      <c r="D66" t="s">
        <v>235</v>
      </c>
      <c r="E66" t="s">
        <v>237</v>
      </c>
      <c r="F66" t="s">
        <v>238</v>
      </c>
      <c r="G66" t="s">
        <v>7</v>
      </c>
      <c r="H66" t="s">
        <v>217</v>
      </c>
      <c r="I66" t="s">
        <v>217</v>
      </c>
      <c r="J66" t="s">
        <v>7</v>
      </c>
      <c r="K66" t="str">
        <f t="shared" si="0"/>
        <v>01130021</v>
      </c>
      <c r="L66">
        <v>13001000</v>
      </c>
      <c r="M66">
        <v>11001000</v>
      </c>
    </row>
    <row r="67" spans="1:13">
      <c r="A67" t="s">
        <v>140</v>
      </c>
      <c r="B67" t="s">
        <v>243</v>
      </c>
      <c r="C67" t="s">
        <v>118</v>
      </c>
      <c r="D67" t="s">
        <v>112</v>
      </c>
      <c r="E67" t="s">
        <v>237</v>
      </c>
      <c r="F67" t="s">
        <v>238</v>
      </c>
      <c r="G67" t="s">
        <v>7</v>
      </c>
      <c r="H67" t="s">
        <v>217</v>
      </c>
      <c r="I67" t="s">
        <v>217</v>
      </c>
      <c r="J67" t="s">
        <v>7</v>
      </c>
      <c r="K67" t="str">
        <f t="shared" ref="K67:K130" si="1">A67&amp;C67</f>
        <v>01130079</v>
      </c>
      <c r="L67">
        <v>13001000</v>
      </c>
      <c r="M67">
        <v>5088000</v>
      </c>
    </row>
    <row r="68" spans="1:13">
      <c r="A68" t="s">
        <v>140</v>
      </c>
      <c r="B68" t="s">
        <v>243</v>
      </c>
      <c r="C68" t="s">
        <v>124</v>
      </c>
      <c r="D68" t="s">
        <v>242</v>
      </c>
      <c r="E68" t="s">
        <v>237</v>
      </c>
      <c r="F68" t="s">
        <v>238</v>
      </c>
      <c r="G68" t="s">
        <v>7</v>
      </c>
      <c r="H68" t="s">
        <v>217</v>
      </c>
      <c r="I68" t="s">
        <v>217</v>
      </c>
      <c r="J68" t="s">
        <v>7</v>
      </c>
      <c r="K68" t="str">
        <f t="shared" si="1"/>
        <v>01130092</v>
      </c>
      <c r="L68">
        <v>13001000</v>
      </c>
      <c r="M68">
        <v>5001000</v>
      </c>
    </row>
    <row r="69" spans="1:13">
      <c r="A69" t="s">
        <v>140</v>
      </c>
      <c r="B69" t="s">
        <v>243</v>
      </c>
      <c r="C69" t="s">
        <v>156</v>
      </c>
      <c r="D69" t="s">
        <v>244</v>
      </c>
      <c r="E69" t="s">
        <v>237</v>
      </c>
      <c r="F69" t="s">
        <v>238</v>
      </c>
      <c r="G69" t="s">
        <v>7</v>
      </c>
      <c r="H69" t="s">
        <v>217</v>
      </c>
      <c r="I69" t="s">
        <v>217</v>
      </c>
      <c r="J69" t="s">
        <v>7</v>
      </c>
      <c r="K69" t="str">
        <f t="shared" si="1"/>
        <v>01130118</v>
      </c>
      <c r="L69">
        <v>13001000</v>
      </c>
      <c r="M69">
        <v>47001000</v>
      </c>
    </row>
    <row r="70" spans="1:13">
      <c r="A70" t="s">
        <v>140</v>
      </c>
      <c r="B70" t="s">
        <v>243</v>
      </c>
      <c r="C70" t="s">
        <v>162</v>
      </c>
      <c r="D70" t="s">
        <v>245</v>
      </c>
      <c r="E70" t="s">
        <v>237</v>
      </c>
      <c r="F70" t="s">
        <v>238</v>
      </c>
      <c r="G70" t="s">
        <v>7</v>
      </c>
      <c r="H70" t="s">
        <v>217</v>
      </c>
      <c r="I70" t="s">
        <v>217</v>
      </c>
      <c r="J70" t="s">
        <v>7</v>
      </c>
      <c r="K70" t="str">
        <f t="shared" si="1"/>
        <v>01130126</v>
      </c>
      <c r="L70">
        <v>13001000</v>
      </c>
      <c r="M70">
        <v>19001000</v>
      </c>
    </row>
    <row r="71" spans="1:13">
      <c r="A71" t="s">
        <v>140</v>
      </c>
      <c r="B71" t="s">
        <v>243</v>
      </c>
      <c r="C71" t="s">
        <v>166</v>
      </c>
      <c r="D71" t="s">
        <v>246</v>
      </c>
      <c r="E71" t="s">
        <v>237</v>
      </c>
      <c r="F71" t="s">
        <v>238</v>
      </c>
      <c r="G71" t="s">
        <v>7</v>
      </c>
      <c r="H71" t="s">
        <v>217</v>
      </c>
      <c r="I71" t="s">
        <v>217</v>
      </c>
      <c r="J71" t="s">
        <v>7</v>
      </c>
      <c r="K71" t="str">
        <f t="shared" si="1"/>
        <v>01130131</v>
      </c>
      <c r="L71">
        <v>13001000</v>
      </c>
      <c r="M71">
        <v>76109000</v>
      </c>
    </row>
    <row r="72" spans="1:13">
      <c r="A72" t="s">
        <v>140</v>
      </c>
      <c r="B72" t="s">
        <v>243</v>
      </c>
      <c r="C72" t="s">
        <v>130</v>
      </c>
      <c r="D72" t="s">
        <v>247</v>
      </c>
      <c r="E72" t="s">
        <v>237</v>
      </c>
      <c r="F72" t="s">
        <v>238</v>
      </c>
      <c r="G72" t="s">
        <v>7</v>
      </c>
      <c r="H72" t="s">
        <v>217</v>
      </c>
      <c r="I72" t="s">
        <v>217</v>
      </c>
      <c r="J72" t="s">
        <v>7</v>
      </c>
      <c r="K72" t="str">
        <f t="shared" si="1"/>
        <v>01130134</v>
      </c>
      <c r="L72">
        <v>13001000</v>
      </c>
      <c r="M72">
        <v>66170000</v>
      </c>
    </row>
    <row r="73" spans="1:13">
      <c r="A73" t="s">
        <v>140</v>
      </c>
      <c r="B73" t="s">
        <v>243</v>
      </c>
      <c r="C73" t="s">
        <v>141</v>
      </c>
      <c r="D73" t="s">
        <v>250</v>
      </c>
      <c r="E73" t="s">
        <v>237</v>
      </c>
      <c r="F73" t="s">
        <v>238</v>
      </c>
      <c r="G73" t="s">
        <v>7</v>
      </c>
      <c r="H73" t="s">
        <v>217</v>
      </c>
      <c r="I73" t="s">
        <v>217</v>
      </c>
      <c r="J73" t="s">
        <v>7</v>
      </c>
      <c r="K73" t="str">
        <f t="shared" si="1"/>
        <v>01130198</v>
      </c>
      <c r="L73">
        <v>13001000</v>
      </c>
      <c r="M73">
        <v>66001000</v>
      </c>
    </row>
    <row r="74" spans="1:13">
      <c r="A74" t="s">
        <v>140</v>
      </c>
      <c r="B74" t="s">
        <v>243</v>
      </c>
      <c r="C74" t="s">
        <v>117</v>
      </c>
      <c r="D74" t="s">
        <v>251</v>
      </c>
      <c r="E74" t="s">
        <v>237</v>
      </c>
      <c r="F74" t="s">
        <v>238</v>
      </c>
      <c r="G74" t="s">
        <v>7</v>
      </c>
      <c r="H74" t="s">
        <v>217</v>
      </c>
      <c r="I74" t="s">
        <v>217</v>
      </c>
      <c r="J74" t="s">
        <v>7</v>
      </c>
      <c r="K74" t="str">
        <f t="shared" si="1"/>
        <v>01130410</v>
      </c>
      <c r="L74">
        <v>13001000</v>
      </c>
      <c r="M74">
        <v>76892000</v>
      </c>
    </row>
    <row r="75" spans="1:13">
      <c r="A75" t="s">
        <v>132</v>
      </c>
      <c r="B75" t="s">
        <v>255</v>
      </c>
      <c r="C75" t="s">
        <v>184</v>
      </c>
      <c r="D75" t="s">
        <v>239</v>
      </c>
      <c r="E75" t="s">
        <v>237</v>
      </c>
      <c r="F75" t="s">
        <v>238</v>
      </c>
      <c r="G75" t="s">
        <v>7</v>
      </c>
      <c r="H75" t="s">
        <v>217</v>
      </c>
      <c r="I75" t="s">
        <v>217</v>
      </c>
      <c r="J75" t="s">
        <v>7</v>
      </c>
      <c r="K75" t="str">
        <f t="shared" si="1"/>
        <v>04410024</v>
      </c>
      <c r="L75">
        <v>15238000</v>
      </c>
      <c r="M75">
        <v>11001000</v>
      </c>
    </row>
    <row r="76" spans="1:13">
      <c r="A76" t="s">
        <v>132</v>
      </c>
      <c r="B76" t="s">
        <v>255</v>
      </c>
      <c r="C76" t="s">
        <v>188</v>
      </c>
      <c r="D76" t="s">
        <v>259</v>
      </c>
      <c r="E76" t="s">
        <v>237</v>
      </c>
      <c r="F76" t="s">
        <v>238</v>
      </c>
      <c r="G76" t="s">
        <v>7</v>
      </c>
      <c r="H76" t="s">
        <v>217</v>
      </c>
      <c r="I76" t="s">
        <v>217</v>
      </c>
      <c r="J76" t="s">
        <v>7</v>
      </c>
      <c r="K76" t="str">
        <f t="shared" si="1"/>
        <v>04410033</v>
      </c>
      <c r="L76">
        <v>15238000</v>
      </c>
      <c r="M76">
        <v>11001000</v>
      </c>
    </row>
    <row r="77" spans="1:13">
      <c r="A77" t="s">
        <v>132</v>
      </c>
      <c r="B77" t="s">
        <v>255</v>
      </c>
      <c r="C77" t="s">
        <v>181</v>
      </c>
      <c r="D77" t="s">
        <v>260</v>
      </c>
      <c r="E77" t="s">
        <v>237</v>
      </c>
      <c r="F77" t="s">
        <v>238</v>
      </c>
      <c r="G77" t="s">
        <v>7</v>
      </c>
      <c r="H77" t="s">
        <v>217</v>
      </c>
      <c r="I77" t="s">
        <v>217</v>
      </c>
      <c r="J77" t="s">
        <v>7</v>
      </c>
      <c r="K77" t="str">
        <f t="shared" si="1"/>
        <v>04410119</v>
      </c>
      <c r="L77">
        <v>15238000</v>
      </c>
      <c r="M77">
        <v>47001000</v>
      </c>
    </row>
    <row r="78" spans="1:13">
      <c r="A78" t="s">
        <v>132</v>
      </c>
      <c r="B78" t="s">
        <v>255</v>
      </c>
      <c r="C78" t="s">
        <v>176</v>
      </c>
      <c r="D78" t="s">
        <v>261</v>
      </c>
      <c r="E78" t="s">
        <v>237</v>
      </c>
      <c r="F78" t="s">
        <v>238</v>
      </c>
      <c r="G78" t="s">
        <v>7</v>
      </c>
      <c r="H78" t="s">
        <v>217</v>
      </c>
      <c r="I78" t="s">
        <v>217</v>
      </c>
      <c r="J78" t="s">
        <v>7</v>
      </c>
      <c r="K78" t="str">
        <f t="shared" si="1"/>
        <v>04410146</v>
      </c>
      <c r="L78">
        <v>15238000</v>
      </c>
      <c r="M78">
        <v>17001000</v>
      </c>
    </row>
    <row r="79" spans="1:13">
      <c r="A79" t="s">
        <v>132</v>
      </c>
      <c r="B79" t="s">
        <v>255</v>
      </c>
      <c r="C79" t="s">
        <v>186</v>
      </c>
      <c r="D79" t="s">
        <v>262</v>
      </c>
      <c r="E79" t="s">
        <v>237</v>
      </c>
      <c r="F79" t="s">
        <v>238</v>
      </c>
      <c r="G79" t="s">
        <v>7</v>
      </c>
      <c r="H79" t="s">
        <v>217</v>
      </c>
      <c r="I79" t="s">
        <v>217</v>
      </c>
      <c r="J79" t="s">
        <v>7</v>
      </c>
      <c r="K79" t="str">
        <f t="shared" si="1"/>
        <v>04410239</v>
      </c>
      <c r="L79">
        <v>15238000</v>
      </c>
      <c r="M79">
        <v>44001000</v>
      </c>
    </row>
    <row r="80" spans="1:13">
      <c r="A80" t="s">
        <v>132</v>
      </c>
      <c r="B80" t="s">
        <v>255</v>
      </c>
      <c r="C80" t="s">
        <v>123</v>
      </c>
      <c r="D80" t="s">
        <v>263</v>
      </c>
      <c r="E80" t="s">
        <v>237</v>
      </c>
      <c r="F80" t="s">
        <v>238</v>
      </c>
      <c r="G80" t="s">
        <v>7</v>
      </c>
      <c r="H80" t="s">
        <v>217</v>
      </c>
      <c r="I80" t="s">
        <v>217</v>
      </c>
      <c r="J80" t="s">
        <v>7</v>
      </c>
      <c r="K80" t="str">
        <f t="shared" si="1"/>
        <v>04410292</v>
      </c>
      <c r="L80">
        <v>15238000</v>
      </c>
      <c r="M80">
        <v>5001000</v>
      </c>
    </row>
    <row r="81" spans="1:13">
      <c r="A81" t="s">
        <v>132</v>
      </c>
      <c r="B81" t="s">
        <v>255</v>
      </c>
      <c r="C81" t="s">
        <v>177</v>
      </c>
      <c r="D81" t="s">
        <v>264</v>
      </c>
      <c r="E81" t="s">
        <v>237</v>
      </c>
      <c r="F81" t="s">
        <v>238</v>
      </c>
      <c r="G81" t="s">
        <v>7</v>
      </c>
      <c r="H81" t="s">
        <v>217</v>
      </c>
      <c r="I81" t="s">
        <v>217</v>
      </c>
      <c r="J81" t="s">
        <v>7</v>
      </c>
      <c r="K81" t="str">
        <f t="shared" si="1"/>
        <v>04410386</v>
      </c>
      <c r="L81">
        <v>15238000</v>
      </c>
      <c r="M81">
        <v>73001000</v>
      </c>
    </row>
    <row r="82" spans="1:13">
      <c r="A82" t="s">
        <v>132</v>
      </c>
      <c r="B82" t="s">
        <v>255</v>
      </c>
      <c r="C82" t="s">
        <v>138</v>
      </c>
      <c r="D82" t="s">
        <v>265</v>
      </c>
      <c r="E82" t="s">
        <v>237</v>
      </c>
      <c r="F82" t="s">
        <v>238</v>
      </c>
      <c r="G82" t="s">
        <v>7</v>
      </c>
      <c r="H82" t="s">
        <v>217</v>
      </c>
      <c r="I82" t="s">
        <v>217</v>
      </c>
      <c r="J82" t="s">
        <v>7</v>
      </c>
      <c r="K82" t="str">
        <f t="shared" si="1"/>
        <v>04410387</v>
      </c>
      <c r="L82">
        <v>15238000</v>
      </c>
      <c r="M82">
        <v>41001000</v>
      </c>
    </row>
    <row r="83" spans="1:13">
      <c r="A83" t="s">
        <v>132</v>
      </c>
      <c r="B83" t="s">
        <v>255</v>
      </c>
      <c r="C83" t="s">
        <v>143</v>
      </c>
      <c r="D83" t="s">
        <v>266</v>
      </c>
      <c r="E83" t="s">
        <v>237</v>
      </c>
      <c r="F83" t="s">
        <v>238</v>
      </c>
      <c r="G83" t="s">
        <v>7</v>
      </c>
      <c r="H83" t="s">
        <v>217</v>
      </c>
      <c r="I83" t="s">
        <v>217</v>
      </c>
      <c r="J83" t="s">
        <v>7</v>
      </c>
      <c r="K83" t="str">
        <f t="shared" si="1"/>
        <v>04410388</v>
      </c>
      <c r="L83">
        <v>15238000</v>
      </c>
      <c r="M83">
        <v>18001000</v>
      </c>
    </row>
    <row r="84" spans="1:13">
      <c r="A84" t="s">
        <v>132</v>
      </c>
      <c r="B84" t="s">
        <v>255</v>
      </c>
      <c r="C84" t="s">
        <v>126</v>
      </c>
      <c r="D84" t="s">
        <v>267</v>
      </c>
      <c r="E84" t="s">
        <v>237</v>
      </c>
      <c r="F84" t="s">
        <v>238</v>
      </c>
      <c r="G84" t="s">
        <v>7</v>
      </c>
      <c r="H84" t="s">
        <v>217</v>
      </c>
      <c r="I84" t="s">
        <v>217</v>
      </c>
      <c r="J84" t="s">
        <v>7</v>
      </c>
      <c r="K84" t="str">
        <f t="shared" si="1"/>
        <v>04410389</v>
      </c>
      <c r="L84">
        <v>15238000</v>
      </c>
      <c r="M84">
        <v>73001000</v>
      </c>
    </row>
    <row r="85" spans="1:13">
      <c r="A85" t="s">
        <v>132</v>
      </c>
      <c r="B85" t="s">
        <v>255</v>
      </c>
      <c r="C85" t="s">
        <v>127</v>
      </c>
      <c r="D85" t="s">
        <v>268</v>
      </c>
      <c r="E85" t="s">
        <v>237</v>
      </c>
      <c r="F85" t="s">
        <v>238</v>
      </c>
      <c r="G85" t="s">
        <v>7</v>
      </c>
      <c r="H85" t="s">
        <v>217</v>
      </c>
      <c r="I85" t="s">
        <v>217</v>
      </c>
      <c r="J85" t="s">
        <v>7</v>
      </c>
      <c r="K85" t="str">
        <f t="shared" si="1"/>
        <v>04410390</v>
      </c>
      <c r="L85">
        <v>15238000</v>
      </c>
      <c r="M85">
        <v>73001000</v>
      </c>
    </row>
    <row r="86" spans="1:13">
      <c r="A86" t="s">
        <v>132</v>
      </c>
      <c r="B86" t="s">
        <v>255</v>
      </c>
      <c r="C86" t="s">
        <v>171</v>
      </c>
      <c r="D86" t="s">
        <v>269</v>
      </c>
      <c r="E86" t="s">
        <v>237</v>
      </c>
      <c r="F86" t="s">
        <v>238</v>
      </c>
      <c r="G86" t="s">
        <v>7</v>
      </c>
      <c r="H86" t="s">
        <v>217</v>
      </c>
      <c r="I86" t="s">
        <v>217</v>
      </c>
      <c r="J86" t="s">
        <v>7</v>
      </c>
      <c r="K86" t="str">
        <f t="shared" si="1"/>
        <v>04410391</v>
      </c>
      <c r="L86">
        <v>15238000</v>
      </c>
      <c r="M86">
        <v>11001000</v>
      </c>
    </row>
    <row r="87" spans="1:13">
      <c r="A87" t="s">
        <v>132</v>
      </c>
      <c r="B87" t="s">
        <v>255</v>
      </c>
      <c r="C87" t="s">
        <v>170</v>
      </c>
      <c r="D87" t="s">
        <v>270</v>
      </c>
      <c r="E87" t="s">
        <v>237</v>
      </c>
      <c r="F87" t="s">
        <v>238</v>
      </c>
      <c r="G87" t="s">
        <v>7</v>
      </c>
      <c r="H87" t="s">
        <v>217</v>
      </c>
      <c r="I87" t="s">
        <v>217</v>
      </c>
      <c r="J87" t="s">
        <v>7</v>
      </c>
      <c r="K87" t="str">
        <f t="shared" si="1"/>
        <v>04410392</v>
      </c>
      <c r="L87">
        <v>15238000</v>
      </c>
      <c r="M87">
        <v>73001000</v>
      </c>
    </row>
    <row r="88" spans="1:13">
      <c r="A88" t="s">
        <v>132</v>
      </c>
      <c r="B88" t="s">
        <v>255</v>
      </c>
      <c r="C88" t="s">
        <v>151</v>
      </c>
      <c r="D88" t="s">
        <v>271</v>
      </c>
      <c r="E88" t="s">
        <v>237</v>
      </c>
      <c r="F88" t="s">
        <v>238</v>
      </c>
      <c r="G88" t="s">
        <v>7</v>
      </c>
      <c r="H88" t="s">
        <v>217</v>
      </c>
      <c r="I88" t="s">
        <v>217</v>
      </c>
      <c r="J88" t="s">
        <v>7</v>
      </c>
      <c r="K88" t="str">
        <f t="shared" si="1"/>
        <v>04410395</v>
      </c>
      <c r="L88">
        <v>15238000</v>
      </c>
      <c r="M88">
        <v>52001000</v>
      </c>
    </row>
    <row r="89" spans="1:13">
      <c r="A89" t="s">
        <v>132</v>
      </c>
      <c r="B89" t="s">
        <v>255</v>
      </c>
      <c r="C89" t="s">
        <v>146</v>
      </c>
      <c r="D89" t="s">
        <v>272</v>
      </c>
      <c r="E89" t="s">
        <v>237</v>
      </c>
      <c r="F89" t="s">
        <v>238</v>
      </c>
      <c r="G89" t="s">
        <v>7</v>
      </c>
      <c r="H89" t="s">
        <v>217</v>
      </c>
      <c r="I89" t="s">
        <v>217</v>
      </c>
      <c r="J89" t="s">
        <v>7</v>
      </c>
      <c r="K89" t="str">
        <f t="shared" si="1"/>
        <v>04410396</v>
      </c>
      <c r="L89">
        <v>15238000</v>
      </c>
      <c r="M89">
        <v>52835000</v>
      </c>
    </row>
    <row r="90" spans="1:13">
      <c r="A90" t="s">
        <v>132</v>
      </c>
      <c r="B90" t="s">
        <v>255</v>
      </c>
      <c r="C90" t="s">
        <v>139</v>
      </c>
      <c r="D90" t="s">
        <v>273</v>
      </c>
      <c r="E90" t="s">
        <v>237</v>
      </c>
      <c r="F90" t="s">
        <v>238</v>
      </c>
      <c r="G90" t="s">
        <v>7</v>
      </c>
      <c r="H90" t="s">
        <v>217</v>
      </c>
      <c r="I90" t="s">
        <v>217</v>
      </c>
      <c r="J90" t="s">
        <v>7</v>
      </c>
      <c r="K90" t="str">
        <f t="shared" si="1"/>
        <v>04410397</v>
      </c>
      <c r="L90">
        <v>15238000</v>
      </c>
      <c r="M90">
        <v>52356000</v>
      </c>
    </row>
    <row r="91" spans="1:13">
      <c r="A91" t="s">
        <v>156</v>
      </c>
      <c r="B91" t="s">
        <v>244</v>
      </c>
      <c r="C91" t="s">
        <v>116</v>
      </c>
      <c r="D91" t="s">
        <v>235</v>
      </c>
      <c r="E91" t="s">
        <v>237</v>
      </c>
      <c r="F91" t="s">
        <v>238</v>
      </c>
      <c r="G91" t="s">
        <v>7</v>
      </c>
      <c r="H91" t="s">
        <v>217</v>
      </c>
      <c r="I91" t="s">
        <v>217</v>
      </c>
      <c r="J91" t="s">
        <v>7</v>
      </c>
      <c r="K91" t="str">
        <f t="shared" si="1"/>
        <v>01180021</v>
      </c>
      <c r="L91">
        <v>47001000</v>
      </c>
      <c r="M91">
        <v>11001000</v>
      </c>
    </row>
    <row r="92" spans="1:13">
      <c r="A92" t="s">
        <v>156</v>
      </c>
      <c r="B92" t="s">
        <v>244</v>
      </c>
      <c r="C92" t="s">
        <v>180</v>
      </c>
      <c r="D92" t="s">
        <v>240</v>
      </c>
      <c r="E92" t="s">
        <v>237</v>
      </c>
      <c r="F92" t="s">
        <v>238</v>
      </c>
      <c r="G92" t="s">
        <v>7</v>
      </c>
      <c r="H92" t="s">
        <v>217</v>
      </c>
      <c r="I92" t="s">
        <v>217</v>
      </c>
      <c r="J92" t="s">
        <v>7</v>
      </c>
      <c r="K92" t="str">
        <f t="shared" si="1"/>
        <v>01180025</v>
      </c>
      <c r="L92">
        <v>47001000</v>
      </c>
      <c r="M92">
        <v>11001000</v>
      </c>
    </row>
    <row r="93" spans="1:13">
      <c r="A93" t="s">
        <v>156</v>
      </c>
      <c r="B93" t="s">
        <v>244</v>
      </c>
      <c r="C93" t="s">
        <v>132</v>
      </c>
      <c r="D93" t="s">
        <v>255</v>
      </c>
      <c r="E93" t="s">
        <v>237</v>
      </c>
      <c r="F93" t="s">
        <v>238</v>
      </c>
      <c r="G93" t="s">
        <v>7</v>
      </c>
      <c r="H93" t="s">
        <v>217</v>
      </c>
      <c r="I93" t="s">
        <v>217</v>
      </c>
      <c r="J93" t="s">
        <v>7</v>
      </c>
      <c r="K93" t="str">
        <f t="shared" si="1"/>
        <v>01180441</v>
      </c>
      <c r="L93">
        <v>47001000</v>
      </c>
      <c r="M93">
        <v>15238000</v>
      </c>
    </row>
    <row r="94" spans="1:13">
      <c r="A94" t="s">
        <v>156</v>
      </c>
      <c r="B94" t="s">
        <v>244</v>
      </c>
      <c r="C94" t="s">
        <v>124</v>
      </c>
      <c r="D94" t="s">
        <v>242</v>
      </c>
      <c r="E94" t="s">
        <v>237</v>
      </c>
      <c r="F94" t="s">
        <v>238</v>
      </c>
      <c r="G94" t="s">
        <v>7</v>
      </c>
      <c r="H94" t="s">
        <v>217</v>
      </c>
      <c r="I94" t="s">
        <v>217</v>
      </c>
      <c r="J94" t="s">
        <v>7</v>
      </c>
      <c r="K94" t="str">
        <f t="shared" si="1"/>
        <v>01180092</v>
      </c>
      <c r="L94">
        <v>47001000</v>
      </c>
      <c r="M94">
        <v>5001000</v>
      </c>
    </row>
    <row r="95" spans="1:13">
      <c r="A95" t="s">
        <v>156</v>
      </c>
      <c r="B95" t="s">
        <v>244</v>
      </c>
      <c r="C95" t="s">
        <v>140</v>
      </c>
      <c r="D95" t="s">
        <v>243</v>
      </c>
      <c r="E95" t="s">
        <v>237</v>
      </c>
      <c r="F95" t="s">
        <v>238</v>
      </c>
      <c r="G95" t="s">
        <v>7</v>
      </c>
      <c r="H95" t="s">
        <v>217</v>
      </c>
      <c r="I95" t="s">
        <v>217</v>
      </c>
      <c r="J95" t="s">
        <v>7</v>
      </c>
      <c r="K95" t="str">
        <f t="shared" si="1"/>
        <v>01180113</v>
      </c>
      <c r="L95">
        <v>47001000</v>
      </c>
      <c r="M95">
        <v>13001000</v>
      </c>
    </row>
    <row r="96" spans="1:13">
      <c r="A96" t="s">
        <v>156</v>
      </c>
      <c r="B96" t="s">
        <v>244</v>
      </c>
      <c r="C96" t="s">
        <v>141</v>
      </c>
      <c r="D96" t="s">
        <v>250</v>
      </c>
      <c r="E96" t="s">
        <v>237</v>
      </c>
      <c r="F96" t="s">
        <v>238</v>
      </c>
      <c r="G96" t="s">
        <v>7</v>
      </c>
      <c r="H96" t="s">
        <v>217</v>
      </c>
      <c r="I96" t="s">
        <v>217</v>
      </c>
      <c r="J96" t="s">
        <v>7</v>
      </c>
      <c r="K96" t="str">
        <f t="shared" si="1"/>
        <v>01180198</v>
      </c>
      <c r="L96">
        <v>47001000</v>
      </c>
      <c r="M96">
        <v>66001000</v>
      </c>
    </row>
    <row r="97" spans="1:13">
      <c r="A97" t="s">
        <v>156</v>
      </c>
      <c r="B97" t="s">
        <v>244</v>
      </c>
      <c r="C97" t="s">
        <v>172</v>
      </c>
      <c r="D97" t="s">
        <v>258</v>
      </c>
      <c r="E97" t="s">
        <v>237</v>
      </c>
      <c r="F97" t="s">
        <v>238</v>
      </c>
      <c r="G97" t="s">
        <v>7</v>
      </c>
      <c r="H97" t="s">
        <v>217</v>
      </c>
      <c r="I97" t="s">
        <v>217</v>
      </c>
      <c r="J97" t="s">
        <v>7</v>
      </c>
      <c r="K97" t="str">
        <f t="shared" si="1"/>
        <v>01180230</v>
      </c>
      <c r="L97">
        <v>47001000</v>
      </c>
      <c r="M97">
        <v>44430000</v>
      </c>
    </row>
    <row r="98" spans="1:13">
      <c r="A98" t="s">
        <v>162</v>
      </c>
      <c r="B98" t="s">
        <v>245</v>
      </c>
      <c r="C98" t="s">
        <v>117</v>
      </c>
      <c r="D98" t="s">
        <v>251</v>
      </c>
      <c r="E98" t="s">
        <v>237</v>
      </c>
      <c r="F98" t="s">
        <v>238</v>
      </c>
      <c r="G98" t="s">
        <v>7</v>
      </c>
      <c r="H98" t="s">
        <v>217</v>
      </c>
      <c r="I98" t="s">
        <v>217</v>
      </c>
      <c r="J98" t="s">
        <v>7</v>
      </c>
      <c r="K98" t="str">
        <f t="shared" si="1"/>
        <v>01260410</v>
      </c>
      <c r="L98">
        <v>19001000</v>
      </c>
      <c r="M98">
        <v>76892000</v>
      </c>
    </row>
    <row r="99" spans="1:13">
      <c r="A99" t="s">
        <v>166</v>
      </c>
      <c r="B99" t="s">
        <v>246</v>
      </c>
      <c r="C99" t="s">
        <v>116</v>
      </c>
      <c r="D99" t="s">
        <v>235</v>
      </c>
      <c r="E99" t="s">
        <v>237</v>
      </c>
      <c r="F99" t="s">
        <v>238</v>
      </c>
      <c r="G99" t="s">
        <v>7</v>
      </c>
      <c r="H99" t="s">
        <v>217</v>
      </c>
      <c r="I99" t="s">
        <v>217</v>
      </c>
      <c r="J99" t="s">
        <v>7</v>
      </c>
      <c r="K99" t="str">
        <f t="shared" si="1"/>
        <v>01310021</v>
      </c>
      <c r="L99">
        <v>76109000</v>
      </c>
      <c r="M99">
        <v>11001000</v>
      </c>
    </row>
    <row r="100" spans="1:13">
      <c r="A100" t="s">
        <v>166</v>
      </c>
      <c r="B100" t="s">
        <v>246</v>
      </c>
      <c r="C100" t="s">
        <v>124</v>
      </c>
      <c r="D100" t="s">
        <v>242</v>
      </c>
      <c r="E100" t="s">
        <v>237</v>
      </c>
      <c r="F100" t="s">
        <v>238</v>
      </c>
      <c r="G100" t="s">
        <v>7</v>
      </c>
      <c r="H100" t="s">
        <v>217</v>
      </c>
      <c r="I100" t="s">
        <v>217</v>
      </c>
      <c r="J100" t="s">
        <v>7</v>
      </c>
      <c r="K100" t="str">
        <f t="shared" si="1"/>
        <v>01310092</v>
      </c>
      <c r="L100">
        <v>76109000</v>
      </c>
      <c r="M100">
        <v>5001000</v>
      </c>
    </row>
    <row r="101" spans="1:13">
      <c r="A101" t="s">
        <v>166</v>
      </c>
      <c r="B101" t="s">
        <v>246</v>
      </c>
      <c r="C101" t="s">
        <v>117</v>
      </c>
      <c r="D101" t="s">
        <v>251</v>
      </c>
      <c r="E101" t="s">
        <v>237</v>
      </c>
      <c r="F101" t="s">
        <v>238</v>
      </c>
      <c r="G101" t="s">
        <v>7</v>
      </c>
      <c r="H101" t="s">
        <v>217</v>
      </c>
      <c r="I101" t="s">
        <v>217</v>
      </c>
      <c r="J101" t="s">
        <v>7</v>
      </c>
      <c r="K101" t="str">
        <f t="shared" si="1"/>
        <v>01310410</v>
      </c>
      <c r="L101">
        <v>76109000</v>
      </c>
      <c r="M101">
        <v>76892000</v>
      </c>
    </row>
    <row r="102" spans="1:13">
      <c r="A102" t="s">
        <v>130</v>
      </c>
      <c r="B102" t="s">
        <v>247</v>
      </c>
      <c r="C102" t="s">
        <v>116</v>
      </c>
      <c r="D102" t="s">
        <v>235</v>
      </c>
      <c r="E102" t="s">
        <v>237</v>
      </c>
      <c r="F102" t="s">
        <v>238</v>
      </c>
      <c r="G102" t="s">
        <v>7</v>
      </c>
      <c r="H102" t="s">
        <v>217</v>
      </c>
      <c r="I102" t="s">
        <v>217</v>
      </c>
      <c r="J102" t="s">
        <v>7</v>
      </c>
      <c r="K102" t="str">
        <f t="shared" si="1"/>
        <v>01340021</v>
      </c>
      <c r="L102">
        <v>66170000</v>
      </c>
      <c r="M102">
        <v>11001000</v>
      </c>
    </row>
    <row r="103" spans="1:13">
      <c r="A103" t="s">
        <v>130</v>
      </c>
      <c r="B103" t="s">
        <v>247</v>
      </c>
      <c r="C103" t="s">
        <v>147</v>
      </c>
      <c r="D103" t="s">
        <v>236</v>
      </c>
      <c r="E103" t="s">
        <v>237</v>
      </c>
      <c r="F103" t="s">
        <v>238</v>
      </c>
      <c r="G103" t="s">
        <v>7</v>
      </c>
      <c r="H103" t="s">
        <v>217</v>
      </c>
      <c r="I103" t="s">
        <v>217</v>
      </c>
      <c r="J103" t="s">
        <v>7</v>
      </c>
      <c r="K103" t="str">
        <f t="shared" si="1"/>
        <v>01340022</v>
      </c>
      <c r="L103">
        <v>66170000</v>
      </c>
      <c r="M103">
        <v>25430000</v>
      </c>
    </row>
    <row r="104" spans="1:13">
      <c r="A104" t="s">
        <v>130</v>
      </c>
      <c r="B104" t="s">
        <v>247</v>
      </c>
      <c r="C104" t="s">
        <v>118</v>
      </c>
      <c r="D104" t="s">
        <v>112</v>
      </c>
      <c r="E104" t="s">
        <v>237</v>
      </c>
      <c r="F104" t="s">
        <v>238</v>
      </c>
      <c r="G104" t="s">
        <v>7</v>
      </c>
      <c r="H104" t="s">
        <v>217</v>
      </c>
      <c r="I104" t="s">
        <v>217</v>
      </c>
      <c r="J104" t="s">
        <v>7</v>
      </c>
      <c r="K104" t="str">
        <f t="shared" si="1"/>
        <v>01340079</v>
      </c>
      <c r="L104">
        <v>66170000</v>
      </c>
      <c r="M104">
        <v>5001000</v>
      </c>
    </row>
    <row r="105" spans="1:13">
      <c r="A105" t="s">
        <v>130</v>
      </c>
      <c r="B105" t="s">
        <v>247</v>
      </c>
      <c r="C105" t="s">
        <v>133</v>
      </c>
      <c r="D105" t="s">
        <v>241</v>
      </c>
      <c r="E105" t="s">
        <v>237</v>
      </c>
      <c r="F105" t="s">
        <v>238</v>
      </c>
      <c r="G105" t="s">
        <v>7</v>
      </c>
      <c r="H105" t="s">
        <v>217</v>
      </c>
      <c r="I105" t="s">
        <v>217</v>
      </c>
      <c r="J105" t="s">
        <v>7</v>
      </c>
      <c r="K105" t="str">
        <f t="shared" si="1"/>
        <v>01340090</v>
      </c>
      <c r="L105">
        <v>66170000</v>
      </c>
      <c r="M105">
        <v>5615000</v>
      </c>
    </row>
    <row r="106" spans="1:13">
      <c r="A106" t="s">
        <v>130</v>
      </c>
      <c r="B106" t="s">
        <v>247</v>
      </c>
      <c r="C106" t="s">
        <v>124</v>
      </c>
      <c r="D106" t="s">
        <v>242</v>
      </c>
      <c r="E106" t="s">
        <v>237</v>
      </c>
      <c r="F106" t="s">
        <v>238</v>
      </c>
      <c r="G106" t="s">
        <v>7</v>
      </c>
      <c r="H106" t="s">
        <v>217</v>
      </c>
      <c r="I106" t="s">
        <v>217</v>
      </c>
      <c r="J106" t="s">
        <v>7</v>
      </c>
      <c r="K106" t="str">
        <f t="shared" si="1"/>
        <v>01340092</v>
      </c>
      <c r="L106">
        <v>66170000</v>
      </c>
      <c r="M106">
        <v>5001000</v>
      </c>
    </row>
    <row r="107" spans="1:13">
      <c r="A107" t="s">
        <v>130</v>
      </c>
      <c r="B107" t="s">
        <v>247</v>
      </c>
      <c r="C107" t="s">
        <v>140</v>
      </c>
      <c r="D107" t="s">
        <v>243</v>
      </c>
      <c r="E107" t="s">
        <v>237</v>
      </c>
      <c r="F107" t="s">
        <v>238</v>
      </c>
      <c r="G107" t="s">
        <v>7</v>
      </c>
      <c r="H107" t="s">
        <v>217</v>
      </c>
      <c r="I107" t="s">
        <v>217</v>
      </c>
      <c r="J107" t="s">
        <v>7</v>
      </c>
      <c r="K107" t="str">
        <f t="shared" si="1"/>
        <v>01340113</v>
      </c>
      <c r="L107">
        <v>66170000</v>
      </c>
      <c r="M107">
        <v>13001000</v>
      </c>
    </row>
    <row r="108" spans="1:13">
      <c r="A108" t="s">
        <v>130</v>
      </c>
      <c r="B108" t="s">
        <v>247</v>
      </c>
      <c r="C108" t="s">
        <v>156</v>
      </c>
      <c r="D108" t="s">
        <v>244</v>
      </c>
      <c r="E108" t="s">
        <v>237</v>
      </c>
      <c r="F108" t="s">
        <v>238</v>
      </c>
      <c r="G108" t="s">
        <v>7</v>
      </c>
      <c r="H108" t="s">
        <v>217</v>
      </c>
      <c r="I108" t="s">
        <v>217</v>
      </c>
      <c r="J108" t="s">
        <v>7</v>
      </c>
      <c r="K108" t="str">
        <f t="shared" si="1"/>
        <v>01340118</v>
      </c>
      <c r="L108">
        <v>66001000</v>
      </c>
      <c r="M108">
        <v>47001000</v>
      </c>
    </row>
    <row r="109" spans="1:13">
      <c r="A109" t="s">
        <v>130</v>
      </c>
      <c r="B109" t="s">
        <v>247</v>
      </c>
      <c r="C109" t="s">
        <v>162</v>
      </c>
      <c r="D109" t="s">
        <v>245</v>
      </c>
      <c r="E109" t="s">
        <v>237</v>
      </c>
      <c r="F109" t="s">
        <v>238</v>
      </c>
      <c r="G109" t="s">
        <v>7</v>
      </c>
      <c r="H109" t="s">
        <v>217</v>
      </c>
      <c r="I109" t="s">
        <v>217</v>
      </c>
      <c r="J109" t="s">
        <v>7</v>
      </c>
      <c r="K109" t="str">
        <f t="shared" si="1"/>
        <v>01340126</v>
      </c>
      <c r="L109">
        <v>66170000</v>
      </c>
      <c r="M109">
        <v>76001000</v>
      </c>
    </row>
    <row r="110" spans="1:13">
      <c r="A110" t="s">
        <v>130</v>
      </c>
      <c r="B110" t="s">
        <v>247</v>
      </c>
      <c r="C110" t="s">
        <v>166</v>
      </c>
      <c r="D110" t="s">
        <v>246</v>
      </c>
      <c r="E110" t="s">
        <v>237</v>
      </c>
      <c r="F110" t="s">
        <v>238</v>
      </c>
      <c r="G110" t="s">
        <v>7</v>
      </c>
      <c r="H110" t="s">
        <v>217</v>
      </c>
      <c r="I110" t="s">
        <v>217</v>
      </c>
      <c r="J110" t="s">
        <v>7</v>
      </c>
      <c r="K110" t="str">
        <f t="shared" si="1"/>
        <v>01340131</v>
      </c>
      <c r="L110">
        <v>66170000</v>
      </c>
      <c r="M110">
        <v>76109000</v>
      </c>
    </row>
    <row r="111" spans="1:13">
      <c r="A111" t="s">
        <v>130</v>
      </c>
      <c r="B111" t="s">
        <v>247</v>
      </c>
      <c r="C111" t="s">
        <v>155</v>
      </c>
      <c r="D111" t="s">
        <v>248</v>
      </c>
      <c r="E111" t="s">
        <v>237</v>
      </c>
      <c r="F111" t="s">
        <v>238</v>
      </c>
      <c r="G111" t="s">
        <v>7</v>
      </c>
      <c r="H111" t="s">
        <v>217</v>
      </c>
      <c r="I111" t="s">
        <v>217</v>
      </c>
      <c r="J111" t="s">
        <v>7</v>
      </c>
      <c r="K111" t="str">
        <f t="shared" si="1"/>
        <v>01340142</v>
      </c>
      <c r="L111">
        <v>66170000</v>
      </c>
      <c r="M111">
        <v>63001000</v>
      </c>
    </row>
    <row r="112" spans="1:13">
      <c r="A112" t="s">
        <v>130</v>
      </c>
      <c r="B112" t="s">
        <v>247</v>
      </c>
      <c r="C112" t="s">
        <v>153</v>
      </c>
      <c r="D112" t="s">
        <v>249</v>
      </c>
      <c r="E112" t="s">
        <v>237</v>
      </c>
      <c r="F112" t="s">
        <v>238</v>
      </c>
      <c r="G112" t="s">
        <v>7</v>
      </c>
      <c r="H112" t="s">
        <v>217</v>
      </c>
      <c r="I112" t="s">
        <v>217</v>
      </c>
      <c r="J112" t="s">
        <v>7</v>
      </c>
      <c r="K112" t="str">
        <f t="shared" si="1"/>
        <v>01340145</v>
      </c>
      <c r="L112">
        <v>66170000</v>
      </c>
      <c r="M112">
        <v>17001000</v>
      </c>
    </row>
    <row r="113" spans="1:13">
      <c r="A113" t="s">
        <v>130</v>
      </c>
      <c r="B113" t="s">
        <v>247</v>
      </c>
      <c r="C113" t="s">
        <v>117</v>
      </c>
      <c r="D113" t="s">
        <v>251</v>
      </c>
      <c r="E113" t="s">
        <v>237</v>
      </c>
      <c r="F113" t="s">
        <v>238</v>
      </c>
      <c r="G113" t="s">
        <v>7</v>
      </c>
      <c r="H113" t="s">
        <v>217</v>
      </c>
      <c r="I113" t="s">
        <v>217</v>
      </c>
      <c r="J113" t="s">
        <v>7</v>
      </c>
      <c r="K113" t="str">
        <f t="shared" si="1"/>
        <v>01340410</v>
      </c>
      <c r="L113">
        <v>66170000</v>
      </c>
      <c r="M113">
        <v>76892000</v>
      </c>
    </row>
    <row r="114" spans="1:13">
      <c r="A114" t="s">
        <v>130</v>
      </c>
      <c r="B114" t="s">
        <v>247</v>
      </c>
      <c r="C114" t="s">
        <v>145</v>
      </c>
      <c r="D114" t="s">
        <v>254</v>
      </c>
      <c r="E114" t="s">
        <v>237</v>
      </c>
      <c r="F114" t="s">
        <v>238</v>
      </c>
      <c r="G114" t="s">
        <v>7</v>
      </c>
      <c r="H114" t="s">
        <v>217</v>
      </c>
      <c r="I114" t="s">
        <v>217</v>
      </c>
      <c r="J114" t="s">
        <v>7</v>
      </c>
      <c r="K114" t="str">
        <f t="shared" si="1"/>
        <v>01340358</v>
      </c>
      <c r="L114">
        <v>66170000</v>
      </c>
      <c r="M114">
        <v>76001000</v>
      </c>
    </row>
    <row r="115" spans="1:13">
      <c r="A115" t="s">
        <v>130</v>
      </c>
      <c r="B115" t="s">
        <v>247</v>
      </c>
      <c r="C115" t="s">
        <v>152</v>
      </c>
      <c r="D115" t="s">
        <v>252</v>
      </c>
      <c r="E115" t="s">
        <v>237</v>
      </c>
      <c r="F115" t="s">
        <v>238</v>
      </c>
      <c r="G115" t="s">
        <v>7</v>
      </c>
      <c r="H115" t="s">
        <v>217</v>
      </c>
      <c r="I115" t="s">
        <v>217</v>
      </c>
      <c r="J115" t="s">
        <v>7</v>
      </c>
      <c r="K115" t="str">
        <f t="shared" si="1"/>
        <v>01340411</v>
      </c>
      <c r="L115">
        <v>66170000</v>
      </c>
      <c r="M115">
        <v>76111000</v>
      </c>
    </row>
    <row r="116" spans="1:13">
      <c r="A116" t="s">
        <v>155</v>
      </c>
      <c r="B116" t="s">
        <v>248</v>
      </c>
      <c r="C116" t="s">
        <v>116</v>
      </c>
      <c r="D116" t="s">
        <v>235</v>
      </c>
      <c r="E116" t="s">
        <v>237</v>
      </c>
      <c r="F116" t="s">
        <v>238</v>
      </c>
      <c r="G116" t="s">
        <v>7</v>
      </c>
      <c r="H116" t="s">
        <v>217</v>
      </c>
      <c r="I116" t="s">
        <v>217</v>
      </c>
      <c r="J116" t="s">
        <v>7</v>
      </c>
      <c r="K116" t="str">
        <f t="shared" si="1"/>
        <v>01420021</v>
      </c>
      <c r="L116">
        <v>63001000</v>
      </c>
      <c r="M116">
        <v>11001000</v>
      </c>
    </row>
    <row r="117" spans="1:13">
      <c r="A117" t="s">
        <v>155</v>
      </c>
      <c r="B117" t="s">
        <v>248</v>
      </c>
      <c r="C117" t="s">
        <v>117</v>
      </c>
      <c r="D117" t="s">
        <v>251</v>
      </c>
      <c r="E117" t="s">
        <v>237</v>
      </c>
      <c r="F117" t="s">
        <v>238</v>
      </c>
      <c r="G117" t="s">
        <v>7</v>
      </c>
      <c r="H117" t="s">
        <v>217</v>
      </c>
      <c r="I117" t="s">
        <v>217</v>
      </c>
      <c r="J117" t="s">
        <v>7</v>
      </c>
      <c r="K117" t="str">
        <f t="shared" si="1"/>
        <v>01420410</v>
      </c>
      <c r="L117">
        <v>63001000</v>
      </c>
      <c r="M117">
        <v>76892000</v>
      </c>
    </row>
    <row r="118" spans="1:13">
      <c r="A118" t="s">
        <v>153</v>
      </c>
      <c r="B118" t="s">
        <v>249</v>
      </c>
      <c r="C118" t="s">
        <v>116</v>
      </c>
      <c r="D118" t="s">
        <v>235</v>
      </c>
      <c r="E118" t="s">
        <v>237</v>
      </c>
      <c r="F118" t="s">
        <v>238</v>
      </c>
      <c r="G118" t="s">
        <v>7</v>
      </c>
      <c r="H118" t="s">
        <v>217</v>
      </c>
      <c r="I118" t="s">
        <v>217</v>
      </c>
      <c r="J118" t="s">
        <v>7</v>
      </c>
      <c r="K118" t="str">
        <f t="shared" si="1"/>
        <v>01450021</v>
      </c>
      <c r="L118">
        <v>17001000</v>
      </c>
      <c r="M118">
        <v>11001000</v>
      </c>
    </row>
    <row r="119" spans="1:13">
      <c r="A119" t="s">
        <v>153</v>
      </c>
      <c r="B119" t="s">
        <v>249</v>
      </c>
      <c r="C119" t="s">
        <v>118</v>
      </c>
      <c r="D119" t="s">
        <v>112</v>
      </c>
      <c r="E119" t="s">
        <v>237</v>
      </c>
      <c r="F119" t="s">
        <v>238</v>
      </c>
      <c r="G119" t="s">
        <v>7</v>
      </c>
      <c r="H119" t="s">
        <v>217</v>
      </c>
      <c r="I119" t="s">
        <v>217</v>
      </c>
      <c r="J119" t="s">
        <v>7</v>
      </c>
      <c r="K119" t="str">
        <f t="shared" si="1"/>
        <v>01450079</v>
      </c>
      <c r="L119">
        <v>17001000</v>
      </c>
      <c r="M119">
        <v>5088000</v>
      </c>
    </row>
    <row r="120" spans="1:13">
      <c r="A120" t="s">
        <v>153</v>
      </c>
      <c r="B120" t="s">
        <v>249</v>
      </c>
      <c r="C120" t="s">
        <v>140</v>
      </c>
      <c r="D120" t="s">
        <v>243</v>
      </c>
      <c r="E120" t="s">
        <v>237</v>
      </c>
      <c r="F120" t="s">
        <v>238</v>
      </c>
      <c r="G120" t="s">
        <v>7</v>
      </c>
      <c r="H120" t="s">
        <v>217</v>
      </c>
      <c r="I120" t="s">
        <v>217</v>
      </c>
      <c r="J120" t="s">
        <v>7</v>
      </c>
      <c r="K120" t="str">
        <f t="shared" si="1"/>
        <v>01450113</v>
      </c>
      <c r="L120">
        <v>17001000</v>
      </c>
      <c r="M120">
        <v>13001000</v>
      </c>
    </row>
    <row r="121" spans="1:13">
      <c r="A121" t="s">
        <v>153</v>
      </c>
      <c r="B121" t="s">
        <v>249</v>
      </c>
      <c r="C121" t="s">
        <v>156</v>
      </c>
      <c r="D121" t="s">
        <v>244</v>
      </c>
      <c r="E121" t="s">
        <v>237</v>
      </c>
      <c r="F121" t="s">
        <v>238</v>
      </c>
      <c r="G121" t="s">
        <v>7</v>
      </c>
      <c r="H121" t="s">
        <v>217</v>
      </c>
      <c r="I121" t="s">
        <v>217</v>
      </c>
      <c r="J121" t="s">
        <v>7</v>
      </c>
      <c r="K121" t="str">
        <f t="shared" si="1"/>
        <v>01450118</v>
      </c>
      <c r="L121">
        <v>17001000</v>
      </c>
      <c r="M121">
        <v>47001000</v>
      </c>
    </row>
    <row r="122" spans="1:13">
      <c r="A122" t="s">
        <v>153</v>
      </c>
      <c r="B122" t="s">
        <v>249</v>
      </c>
      <c r="C122" t="s">
        <v>166</v>
      </c>
      <c r="D122" t="s">
        <v>246</v>
      </c>
      <c r="E122" t="s">
        <v>237</v>
      </c>
      <c r="F122" t="s">
        <v>238</v>
      </c>
      <c r="G122" t="s">
        <v>7</v>
      </c>
      <c r="H122" t="s">
        <v>217</v>
      </c>
      <c r="I122" t="s">
        <v>217</v>
      </c>
      <c r="J122" t="s">
        <v>7</v>
      </c>
      <c r="K122" t="str">
        <f t="shared" si="1"/>
        <v>01450131</v>
      </c>
      <c r="L122">
        <v>17001000</v>
      </c>
      <c r="M122">
        <v>76109000</v>
      </c>
    </row>
    <row r="123" spans="1:13">
      <c r="A123" t="s">
        <v>153</v>
      </c>
      <c r="B123" t="s">
        <v>249</v>
      </c>
      <c r="C123" t="s">
        <v>117</v>
      </c>
      <c r="D123" t="s">
        <v>251</v>
      </c>
      <c r="E123" t="s">
        <v>237</v>
      </c>
      <c r="F123" t="s">
        <v>238</v>
      </c>
      <c r="G123" t="s">
        <v>7</v>
      </c>
      <c r="H123" t="s">
        <v>217</v>
      </c>
      <c r="I123" t="s">
        <v>217</v>
      </c>
      <c r="J123" t="s">
        <v>7</v>
      </c>
      <c r="K123" t="str">
        <f t="shared" si="1"/>
        <v>01450410</v>
      </c>
      <c r="L123">
        <v>17001000</v>
      </c>
      <c r="M123">
        <v>76892000</v>
      </c>
    </row>
    <row r="124" spans="1:13">
      <c r="A124" t="s">
        <v>141</v>
      </c>
      <c r="B124" t="s">
        <v>250</v>
      </c>
      <c r="C124" t="s">
        <v>116</v>
      </c>
      <c r="D124" t="s">
        <v>235</v>
      </c>
      <c r="E124" t="s">
        <v>237</v>
      </c>
      <c r="F124" t="s">
        <v>238</v>
      </c>
      <c r="G124" t="s">
        <v>7</v>
      </c>
      <c r="H124" t="s">
        <v>217</v>
      </c>
      <c r="I124" t="s">
        <v>217</v>
      </c>
      <c r="J124" t="s">
        <v>7</v>
      </c>
      <c r="K124" t="str">
        <f t="shared" si="1"/>
        <v>01980021</v>
      </c>
      <c r="L124">
        <v>66001000</v>
      </c>
      <c r="M124">
        <v>11001000</v>
      </c>
    </row>
    <row r="125" spans="1:13">
      <c r="A125" t="s">
        <v>141</v>
      </c>
      <c r="B125" t="s">
        <v>250</v>
      </c>
      <c r="C125" t="s">
        <v>147</v>
      </c>
      <c r="D125" t="s">
        <v>236</v>
      </c>
      <c r="E125" t="s">
        <v>237</v>
      </c>
      <c r="F125" t="s">
        <v>238</v>
      </c>
      <c r="G125" t="s">
        <v>7</v>
      </c>
      <c r="H125" t="s">
        <v>217</v>
      </c>
      <c r="I125" t="s">
        <v>217</v>
      </c>
      <c r="J125" t="s">
        <v>7</v>
      </c>
      <c r="K125" t="str">
        <f t="shared" si="1"/>
        <v>01980022</v>
      </c>
      <c r="L125">
        <v>66001000</v>
      </c>
      <c r="M125">
        <v>25430000</v>
      </c>
    </row>
    <row r="126" spans="1:13">
      <c r="A126" t="s">
        <v>141</v>
      </c>
      <c r="B126" t="s">
        <v>250</v>
      </c>
      <c r="C126" t="s">
        <v>184</v>
      </c>
      <c r="D126" t="s">
        <v>239</v>
      </c>
      <c r="E126" t="s">
        <v>237</v>
      </c>
      <c r="F126" t="s">
        <v>238</v>
      </c>
      <c r="G126" t="s">
        <v>7</v>
      </c>
      <c r="H126" t="s">
        <v>217</v>
      </c>
      <c r="I126" t="s">
        <v>217</v>
      </c>
      <c r="J126" t="s">
        <v>7</v>
      </c>
      <c r="K126" t="str">
        <f t="shared" si="1"/>
        <v>01980024</v>
      </c>
      <c r="L126">
        <v>66001000</v>
      </c>
      <c r="M126">
        <v>11001000</v>
      </c>
    </row>
    <row r="127" spans="1:13">
      <c r="A127" t="s">
        <v>141</v>
      </c>
      <c r="B127" t="s">
        <v>250</v>
      </c>
      <c r="C127" t="s">
        <v>180</v>
      </c>
      <c r="D127" t="s">
        <v>240</v>
      </c>
      <c r="E127" t="s">
        <v>237</v>
      </c>
      <c r="F127" t="s">
        <v>238</v>
      </c>
      <c r="G127" t="s">
        <v>7</v>
      </c>
      <c r="H127" t="s">
        <v>217</v>
      </c>
      <c r="I127" t="s">
        <v>217</v>
      </c>
      <c r="J127" t="s">
        <v>7</v>
      </c>
      <c r="K127" t="str">
        <f t="shared" si="1"/>
        <v>01980025</v>
      </c>
      <c r="L127">
        <v>66001000</v>
      </c>
      <c r="M127">
        <v>11001000</v>
      </c>
    </row>
    <row r="128" spans="1:13">
      <c r="A128" t="s">
        <v>141</v>
      </c>
      <c r="B128" t="s">
        <v>250</v>
      </c>
      <c r="C128" t="s">
        <v>118</v>
      </c>
      <c r="D128" t="s">
        <v>112</v>
      </c>
      <c r="E128" t="s">
        <v>237</v>
      </c>
      <c r="F128" t="s">
        <v>238</v>
      </c>
      <c r="G128" t="s">
        <v>7</v>
      </c>
      <c r="H128" t="s">
        <v>217</v>
      </c>
      <c r="I128" t="s">
        <v>217</v>
      </c>
      <c r="J128" t="s">
        <v>7</v>
      </c>
      <c r="K128" t="str">
        <f t="shared" si="1"/>
        <v>01980079</v>
      </c>
      <c r="L128">
        <v>66001000</v>
      </c>
      <c r="M128">
        <v>5001000</v>
      </c>
    </row>
    <row r="129" spans="1:13">
      <c r="A129" t="s">
        <v>141</v>
      </c>
      <c r="B129" t="s">
        <v>250</v>
      </c>
      <c r="C129" t="s">
        <v>185</v>
      </c>
      <c r="D129" t="s">
        <v>257</v>
      </c>
      <c r="E129" t="s">
        <v>237</v>
      </c>
      <c r="F129" t="s">
        <v>238</v>
      </c>
      <c r="G129" t="s">
        <v>7</v>
      </c>
      <c r="H129" t="s">
        <v>217</v>
      </c>
      <c r="I129" t="s">
        <v>217</v>
      </c>
      <c r="J129" t="s">
        <v>7</v>
      </c>
      <c r="K129" t="str">
        <f t="shared" si="1"/>
        <v>01980080</v>
      </c>
      <c r="L129">
        <v>66001000</v>
      </c>
      <c r="M129">
        <v>5001000</v>
      </c>
    </row>
    <row r="130" spans="1:13">
      <c r="A130" t="s">
        <v>141</v>
      </c>
      <c r="B130" t="s">
        <v>250</v>
      </c>
      <c r="C130" t="s">
        <v>133</v>
      </c>
      <c r="D130" t="s">
        <v>241</v>
      </c>
      <c r="E130" t="s">
        <v>237</v>
      </c>
      <c r="F130" t="s">
        <v>238</v>
      </c>
      <c r="G130" t="s">
        <v>7</v>
      </c>
      <c r="H130" t="s">
        <v>217</v>
      </c>
      <c r="I130" t="s">
        <v>217</v>
      </c>
      <c r="J130" t="s">
        <v>7</v>
      </c>
      <c r="K130" t="str">
        <f t="shared" si="1"/>
        <v>01980090</v>
      </c>
      <c r="L130">
        <v>66001000</v>
      </c>
      <c r="M130">
        <v>5615000</v>
      </c>
    </row>
    <row r="131" spans="1:13">
      <c r="A131" t="s">
        <v>141</v>
      </c>
      <c r="B131" t="s">
        <v>250</v>
      </c>
      <c r="C131" t="s">
        <v>124</v>
      </c>
      <c r="D131" t="s">
        <v>242</v>
      </c>
      <c r="E131" t="s">
        <v>237</v>
      </c>
      <c r="F131" t="s">
        <v>238</v>
      </c>
      <c r="G131" t="s">
        <v>7</v>
      </c>
      <c r="H131" t="s">
        <v>217</v>
      </c>
      <c r="I131" t="s">
        <v>217</v>
      </c>
      <c r="J131" t="s">
        <v>7</v>
      </c>
      <c r="K131" t="str">
        <f t="shared" ref="K131:K194" si="2">A131&amp;C131</f>
        <v>01980092</v>
      </c>
      <c r="L131">
        <v>66001000</v>
      </c>
      <c r="M131">
        <v>5001000</v>
      </c>
    </row>
    <row r="132" spans="1:13">
      <c r="A132" t="s">
        <v>141</v>
      </c>
      <c r="B132" t="s">
        <v>250</v>
      </c>
      <c r="C132" t="s">
        <v>140</v>
      </c>
      <c r="D132" t="s">
        <v>243</v>
      </c>
      <c r="E132" t="s">
        <v>237</v>
      </c>
      <c r="F132" t="s">
        <v>238</v>
      </c>
      <c r="G132" t="s">
        <v>7</v>
      </c>
      <c r="H132" t="s">
        <v>217</v>
      </c>
      <c r="I132" t="s">
        <v>217</v>
      </c>
      <c r="J132" t="s">
        <v>7</v>
      </c>
      <c r="K132" t="str">
        <f t="shared" si="2"/>
        <v>01980113</v>
      </c>
      <c r="L132">
        <v>66001000</v>
      </c>
      <c r="M132">
        <v>13001000</v>
      </c>
    </row>
    <row r="133" spans="1:13">
      <c r="A133" t="s">
        <v>141</v>
      </c>
      <c r="B133" t="s">
        <v>250</v>
      </c>
      <c r="C133" t="s">
        <v>156</v>
      </c>
      <c r="D133" t="s">
        <v>244</v>
      </c>
      <c r="E133" t="s">
        <v>237</v>
      </c>
      <c r="F133" t="s">
        <v>238</v>
      </c>
      <c r="G133" t="s">
        <v>7</v>
      </c>
      <c r="H133" t="s">
        <v>217</v>
      </c>
      <c r="I133" t="s">
        <v>217</v>
      </c>
      <c r="J133" t="s">
        <v>7</v>
      </c>
      <c r="K133" t="str">
        <f t="shared" si="2"/>
        <v>01980118</v>
      </c>
      <c r="L133">
        <v>66001000</v>
      </c>
      <c r="M133">
        <v>47001000</v>
      </c>
    </row>
    <row r="134" spans="1:13">
      <c r="A134" t="s">
        <v>141</v>
      </c>
      <c r="B134" t="s">
        <v>250</v>
      </c>
      <c r="C134" t="s">
        <v>162</v>
      </c>
      <c r="D134" t="s">
        <v>245</v>
      </c>
      <c r="E134" t="s">
        <v>237</v>
      </c>
      <c r="F134" t="s">
        <v>238</v>
      </c>
      <c r="G134" t="s">
        <v>7</v>
      </c>
      <c r="H134" t="s">
        <v>217</v>
      </c>
      <c r="I134" t="s">
        <v>217</v>
      </c>
      <c r="J134" t="s">
        <v>7</v>
      </c>
      <c r="K134" t="str">
        <f t="shared" si="2"/>
        <v>01980126</v>
      </c>
      <c r="L134">
        <v>66001000</v>
      </c>
      <c r="M134">
        <v>19001000</v>
      </c>
    </row>
    <row r="135" spans="1:13">
      <c r="A135" t="s">
        <v>141</v>
      </c>
      <c r="B135" t="s">
        <v>250</v>
      </c>
      <c r="C135" t="s">
        <v>166</v>
      </c>
      <c r="D135" t="s">
        <v>246</v>
      </c>
      <c r="E135" t="s">
        <v>237</v>
      </c>
      <c r="F135" t="s">
        <v>238</v>
      </c>
      <c r="G135" t="s">
        <v>7</v>
      </c>
      <c r="H135" t="s">
        <v>217</v>
      </c>
      <c r="I135" t="s">
        <v>217</v>
      </c>
      <c r="J135" t="s">
        <v>7</v>
      </c>
      <c r="K135" t="str">
        <f t="shared" si="2"/>
        <v>01980131</v>
      </c>
      <c r="L135">
        <v>66001000</v>
      </c>
      <c r="M135">
        <v>76109000</v>
      </c>
    </row>
    <row r="136" spans="1:13">
      <c r="A136" t="s">
        <v>141</v>
      </c>
      <c r="B136" t="s">
        <v>250</v>
      </c>
      <c r="C136" t="s">
        <v>130</v>
      </c>
      <c r="D136" t="s">
        <v>247</v>
      </c>
      <c r="E136" t="s">
        <v>237</v>
      </c>
      <c r="F136" t="s">
        <v>238</v>
      </c>
      <c r="G136" t="s">
        <v>7</v>
      </c>
      <c r="H136" t="s">
        <v>217</v>
      </c>
      <c r="I136" t="s">
        <v>217</v>
      </c>
      <c r="J136" t="s">
        <v>7</v>
      </c>
      <c r="K136" t="str">
        <f t="shared" si="2"/>
        <v>01980134</v>
      </c>
      <c r="L136">
        <v>66001000</v>
      </c>
      <c r="M136">
        <v>66170000</v>
      </c>
    </row>
    <row r="137" spans="1:13">
      <c r="A137" t="s">
        <v>141</v>
      </c>
      <c r="B137" t="s">
        <v>250</v>
      </c>
      <c r="C137" t="s">
        <v>155</v>
      </c>
      <c r="D137" t="s">
        <v>248</v>
      </c>
      <c r="E137" t="s">
        <v>237</v>
      </c>
      <c r="F137" t="s">
        <v>238</v>
      </c>
      <c r="G137" t="s">
        <v>7</v>
      </c>
      <c r="H137" t="s">
        <v>217</v>
      </c>
      <c r="I137" t="s">
        <v>217</v>
      </c>
      <c r="J137" t="s">
        <v>7</v>
      </c>
      <c r="K137" t="str">
        <f t="shared" si="2"/>
        <v>01980142</v>
      </c>
      <c r="L137">
        <v>66001000</v>
      </c>
      <c r="M137">
        <v>63001000</v>
      </c>
    </row>
    <row r="138" spans="1:13">
      <c r="A138" t="s">
        <v>141</v>
      </c>
      <c r="B138" t="s">
        <v>250</v>
      </c>
      <c r="C138" t="s">
        <v>172</v>
      </c>
      <c r="D138" t="s">
        <v>258</v>
      </c>
      <c r="E138" t="s">
        <v>237</v>
      </c>
      <c r="F138" t="s">
        <v>238</v>
      </c>
      <c r="G138" t="s">
        <v>7</v>
      </c>
      <c r="H138" t="s">
        <v>217</v>
      </c>
      <c r="I138" t="s">
        <v>217</v>
      </c>
      <c r="J138" t="s">
        <v>7</v>
      </c>
      <c r="K138" t="str">
        <f t="shared" si="2"/>
        <v>01980230</v>
      </c>
      <c r="L138">
        <v>66001000</v>
      </c>
      <c r="M138">
        <v>44001000</v>
      </c>
    </row>
    <row r="139" spans="1:13">
      <c r="A139" t="s">
        <v>141</v>
      </c>
      <c r="B139" t="s">
        <v>250</v>
      </c>
      <c r="C139" t="s">
        <v>117</v>
      </c>
      <c r="D139" t="s">
        <v>251</v>
      </c>
      <c r="E139" t="s">
        <v>237</v>
      </c>
      <c r="F139" t="s">
        <v>238</v>
      </c>
      <c r="G139" t="s">
        <v>7</v>
      </c>
      <c r="H139" t="s">
        <v>217</v>
      </c>
      <c r="I139" t="s">
        <v>217</v>
      </c>
      <c r="J139" t="s">
        <v>7</v>
      </c>
      <c r="K139" t="str">
        <f t="shared" si="2"/>
        <v>01980410</v>
      </c>
      <c r="L139">
        <v>66001000</v>
      </c>
      <c r="M139">
        <v>76892000</v>
      </c>
    </row>
    <row r="140" spans="1:13">
      <c r="A140" t="s">
        <v>141</v>
      </c>
      <c r="B140" t="s">
        <v>250</v>
      </c>
      <c r="C140" t="s">
        <v>152</v>
      </c>
      <c r="D140" t="s">
        <v>252</v>
      </c>
      <c r="E140" t="s">
        <v>237</v>
      </c>
      <c r="F140" t="s">
        <v>238</v>
      </c>
      <c r="G140" t="s">
        <v>7</v>
      </c>
      <c r="H140" t="s">
        <v>217</v>
      </c>
      <c r="I140" t="s">
        <v>217</v>
      </c>
      <c r="J140" t="s">
        <v>7</v>
      </c>
      <c r="K140" t="str">
        <f t="shared" si="2"/>
        <v>01980411</v>
      </c>
      <c r="L140">
        <v>66001000</v>
      </c>
      <c r="M140">
        <v>76111000</v>
      </c>
    </row>
    <row r="141" spans="1:13">
      <c r="A141" t="s">
        <v>141</v>
      </c>
      <c r="B141" t="s">
        <v>250</v>
      </c>
      <c r="C141" t="s">
        <v>145</v>
      </c>
      <c r="D141" t="s">
        <v>254</v>
      </c>
      <c r="E141" t="s">
        <v>237</v>
      </c>
      <c r="F141" t="s">
        <v>238</v>
      </c>
      <c r="G141" t="s">
        <v>7</v>
      </c>
      <c r="H141" t="s">
        <v>217</v>
      </c>
      <c r="I141" t="s">
        <v>217</v>
      </c>
      <c r="J141" t="s">
        <v>7</v>
      </c>
      <c r="K141" t="str">
        <f t="shared" si="2"/>
        <v>01980358</v>
      </c>
      <c r="L141">
        <v>66001000</v>
      </c>
      <c r="M141">
        <v>76364000</v>
      </c>
    </row>
    <row r="142" spans="1:13">
      <c r="A142" t="s">
        <v>117</v>
      </c>
      <c r="B142" t="s">
        <v>251</v>
      </c>
      <c r="C142" t="s">
        <v>116</v>
      </c>
      <c r="D142" t="s">
        <v>235</v>
      </c>
      <c r="E142" t="s">
        <v>237</v>
      </c>
      <c r="F142" t="s">
        <v>238</v>
      </c>
      <c r="G142" t="s">
        <v>7</v>
      </c>
      <c r="H142" t="s">
        <v>217</v>
      </c>
      <c r="I142" t="s">
        <v>217</v>
      </c>
      <c r="J142" t="s">
        <v>7</v>
      </c>
      <c r="K142" t="str">
        <f t="shared" si="2"/>
        <v>04100021</v>
      </c>
      <c r="L142">
        <v>76892000</v>
      </c>
      <c r="M142">
        <v>11001000</v>
      </c>
    </row>
    <row r="143" spans="1:13">
      <c r="A143" t="s">
        <v>117</v>
      </c>
      <c r="B143" t="s">
        <v>251</v>
      </c>
      <c r="C143" t="s">
        <v>147</v>
      </c>
      <c r="D143" t="s">
        <v>236</v>
      </c>
      <c r="E143" t="s">
        <v>237</v>
      </c>
      <c r="F143" t="s">
        <v>238</v>
      </c>
      <c r="G143" t="s">
        <v>7</v>
      </c>
      <c r="H143" t="s">
        <v>217</v>
      </c>
      <c r="I143" t="s">
        <v>217</v>
      </c>
      <c r="J143" t="s">
        <v>7</v>
      </c>
      <c r="K143" t="str">
        <f t="shared" si="2"/>
        <v>04100022</v>
      </c>
      <c r="L143">
        <v>76892000</v>
      </c>
      <c r="M143">
        <v>25430000</v>
      </c>
    </row>
    <row r="144" spans="1:13">
      <c r="A144" t="s">
        <v>117</v>
      </c>
      <c r="B144" t="s">
        <v>251</v>
      </c>
      <c r="C144" t="s">
        <v>184</v>
      </c>
      <c r="D144" t="s">
        <v>239</v>
      </c>
      <c r="E144" t="s">
        <v>237</v>
      </c>
      <c r="F144" t="s">
        <v>238</v>
      </c>
      <c r="G144" t="s">
        <v>7</v>
      </c>
      <c r="H144" t="s">
        <v>217</v>
      </c>
      <c r="I144" t="s">
        <v>217</v>
      </c>
      <c r="J144" t="s">
        <v>7</v>
      </c>
      <c r="K144" t="str">
        <f t="shared" si="2"/>
        <v>04100024</v>
      </c>
      <c r="L144">
        <v>76892000</v>
      </c>
      <c r="M144">
        <v>11001000</v>
      </c>
    </row>
    <row r="145" spans="1:13">
      <c r="A145" t="s">
        <v>117</v>
      </c>
      <c r="B145" t="s">
        <v>251</v>
      </c>
      <c r="C145" t="s">
        <v>180</v>
      </c>
      <c r="D145" t="s">
        <v>240</v>
      </c>
      <c r="E145" t="s">
        <v>237</v>
      </c>
      <c r="F145" t="s">
        <v>238</v>
      </c>
      <c r="G145" t="s">
        <v>7</v>
      </c>
      <c r="H145" t="s">
        <v>217</v>
      </c>
      <c r="I145" t="s">
        <v>217</v>
      </c>
      <c r="J145" t="s">
        <v>7</v>
      </c>
      <c r="K145" t="str">
        <f t="shared" si="2"/>
        <v>04100025</v>
      </c>
      <c r="L145">
        <v>76892000</v>
      </c>
      <c r="M145">
        <v>11001000</v>
      </c>
    </row>
    <row r="146" spans="1:13">
      <c r="A146" t="s">
        <v>117</v>
      </c>
      <c r="B146" t="s">
        <v>251</v>
      </c>
      <c r="C146" t="s">
        <v>185</v>
      </c>
      <c r="D146" t="s">
        <v>257</v>
      </c>
      <c r="E146" t="s">
        <v>237</v>
      </c>
      <c r="F146" t="s">
        <v>238</v>
      </c>
      <c r="G146" t="s">
        <v>7</v>
      </c>
      <c r="H146" t="s">
        <v>217</v>
      </c>
      <c r="I146" t="s">
        <v>217</v>
      </c>
      <c r="J146" t="s">
        <v>7</v>
      </c>
      <c r="K146" t="str">
        <f t="shared" si="2"/>
        <v>04100080</v>
      </c>
      <c r="L146">
        <v>76892000</v>
      </c>
      <c r="M146">
        <v>5001000</v>
      </c>
    </row>
    <row r="147" spans="1:13">
      <c r="A147" t="s">
        <v>117</v>
      </c>
      <c r="B147" t="s">
        <v>251</v>
      </c>
      <c r="C147" t="s">
        <v>133</v>
      </c>
      <c r="D147" t="s">
        <v>241</v>
      </c>
      <c r="E147" t="s">
        <v>237</v>
      </c>
      <c r="F147" t="s">
        <v>238</v>
      </c>
      <c r="G147" t="s">
        <v>7</v>
      </c>
      <c r="H147" t="s">
        <v>217</v>
      </c>
      <c r="I147" t="s">
        <v>217</v>
      </c>
      <c r="J147" t="s">
        <v>7</v>
      </c>
      <c r="K147" t="str">
        <f t="shared" si="2"/>
        <v>04100090</v>
      </c>
      <c r="L147">
        <v>76892000</v>
      </c>
      <c r="M147">
        <v>5615000</v>
      </c>
    </row>
    <row r="148" spans="1:13">
      <c r="A148" t="s">
        <v>117</v>
      </c>
      <c r="B148" t="s">
        <v>251</v>
      </c>
      <c r="C148" t="s">
        <v>124</v>
      </c>
      <c r="D148" t="s">
        <v>242</v>
      </c>
      <c r="E148" t="s">
        <v>237</v>
      </c>
      <c r="F148" t="s">
        <v>238</v>
      </c>
      <c r="G148" t="s">
        <v>7</v>
      </c>
      <c r="H148" t="s">
        <v>217</v>
      </c>
      <c r="I148" t="s">
        <v>217</v>
      </c>
      <c r="J148" t="s">
        <v>7</v>
      </c>
      <c r="K148" t="str">
        <f t="shared" si="2"/>
        <v>04100092</v>
      </c>
      <c r="L148">
        <v>76892000</v>
      </c>
      <c r="M148">
        <v>5001000</v>
      </c>
    </row>
    <row r="149" spans="1:13">
      <c r="A149" t="s">
        <v>117</v>
      </c>
      <c r="B149" t="s">
        <v>251</v>
      </c>
      <c r="C149" t="s">
        <v>140</v>
      </c>
      <c r="D149" t="s">
        <v>243</v>
      </c>
      <c r="E149" t="s">
        <v>237</v>
      </c>
      <c r="F149" t="s">
        <v>238</v>
      </c>
      <c r="G149" t="s">
        <v>7</v>
      </c>
      <c r="H149" t="s">
        <v>217</v>
      </c>
      <c r="I149" t="s">
        <v>217</v>
      </c>
      <c r="J149" t="s">
        <v>7</v>
      </c>
      <c r="K149" t="str">
        <f t="shared" si="2"/>
        <v>04100113</v>
      </c>
      <c r="L149">
        <v>76892000</v>
      </c>
      <c r="M149">
        <v>13001000</v>
      </c>
    </row>
    <row r="150" spans="1:13">
      <c r="A150" t="s">
        <v>117</v>
      </c>
      <c r="B150" t="s">
        <v>251</v>
      </c>
      <c r="C150" t="s">
        <v>156</v>
      </c>
      <c r="D150" t="s">
        <v>244</v>
      </c>
      <c r="E150" t="s">
        <v>237</v>
      </c>
      <c r="F150" t="s">
        <v>238</v>
      </c>
      <c r="G150" t="s">
        <v>7</v>
      </c>
      <c r="H150" t="s">
        <v>217</v>
      </c>
      <c r="I150" t="s">
        <v>217</v>
      </c>
      <c r="J150" t="s">
        <v>7</v>
      </c>
      <c r="K150" t="str">
        <f t="shared" si="2"/>
        <v>04100118</v>
      </c>
      <c r="L150">
        <v>76892000</v>
      </c>
      <c r="M150">
        <v>47001000</v>
      </c>
    </row>
    <row r="151" spans="1:13">
      <c r="A151" t="s">
        <v>117</v>
      </c>
      <c r="B151" t="s">
        <v>251</v>
      </c>
      <c r="C151" t="s">
        <v>162</v>
      </c>
      <c r="D151" t="s">
        <v>245</v>
      </c>
      <c r="E151" t="s">
        <v>237</v>
      </c>
      <c r="F151" t="s">
        <v>238</v>
      </c>
      <c r="G151" t="s">
        <v>7</v>
      </c>
      <c r="H151" t="s">
        <v>217</v>
      </c>
      <c r="I151" t="s">
        <v>217</v>
      </c>
      <c r="J151" t="s">
        <v>7</v>
      </c>
      <c r="K151" t="str">
        <f t="shared" si="2"/>
        <v>04100126</v>
      </c>
      <c r="L151">
        <v>76892000</v>
      </c>
      <c r="M151">
        <v>19001000</v>
      </c>
    </row>
    <row r="152" spans="1:13">
      <c r="A152" t="s">
        <v>117</v>
      </c>
      <c r="B152" t="s">
        <v>251</v>
      </c>
      <c r="C152" t="s">
        <v>166</v>
      </c>
      <c r="D152" t="s">
        <v>246</v>
      </c>
      <c r="E152" t="s">
        <v>237</v>
      </c>
      <c r="F152" t="s">
        <v>238</v>
      </c>
      <c r="G152" t="s">
        <v>7</v>
      </c>
      <c r="H152" t="s">
        <v>217</v>
      </c>
      <c r="I152" t="s">
        <v>217</v>
      </c>
      <c r="J152" t="s">
        <v>7</v>
      </c>
      <c r="K152" t="str">
        <f t="shared" si="2"/>
        <v>04100131</v>
      </c>
      <c r="L152">
        <v>76892000</v>
      </c>
      <c r="M152">
        <v>76109000</v>
      </c>
    </row>
    <row r="153" spans="1:13">
      <c r="A153" t="s">
        <v>117</v>
      </c>
      <c r="B153" t="s">
        <v>251</v>
      </c>
      <c r="C153" t="s">
        <v>130</v>
      </c>
      <c r="D153" t="s">
        <v>247</v>
      </c>
      <c r="E153" t="s">
        <v>237</v>
      </c>
      <c r="F153" t="s">
        <v>238</v>
      </c>
      <c r="G153" t="s">
        <v>7</v>
      </c>
      <c r="H153" t="s">
        <v>217</v>
      </c>
      <c r="I153" t="s">
        <v>217</v>
      </c>
      <c r="J153" t="s">
        <v>7</v>
      </c>
      <c r="K153" t="str">
        <f t="shared" si="2"/>
        <v>04100134</v>
      </c>
      <c r="L153">
        <v>76892000</v>
      </c>
      <c r="M153">
        <v>66170000</v>
      </c>
    </row>
    <row r="154" spans="1:13">
      <c r="A154" t="s">
        <v>117</v>
      </c>
      <c r="B154" t="s">
        <v>251</v>
      </c>
      <c r="C154" t="s">
        <v>155</v>
      </c>
      <c r="D154" t="s">
        <v>248</v>
      </c>
      <c r="E154" t="s">
        <v>237</v>
      </c>
      <c r="F154" t="s">
        <v>238</v>
      </c>
      <c r="G154" t="s">
        <v>7</v>
      </c>
      <c r="H154" t="s">
        <v>217</v>
      </c>
      <c r="I154" t="s">
        <v>217</v>
      </c>
      <c r="J154" t="s">
        <v>7</v>
      </c>
      <c r="K154" t="str">
        <f t="shared" si="2"/>
        <v>04100142</v>
      </c>
      <c r="L154">
        <v>76892000</v>
      </c>
      <c r="M154">
        <v>63001000</v>
      </c>
    </row>
    <row r="155" spans="1:13">
      <c r="A155" t="s">
        <v>117</v>
      </c>
      <c r="B155" t="s">
        <v>251</v>
      </c>
      <c r="C155" t="s">
        <v>153</v>
      </c>
      <c r="D155" t="s">
        <v>249</v>
      </c>
      <c r="E155" t="s">
        <v>237</v>
      </c>
      <c r="F155" t="s">
        <v>238</v>
      </c>
      <c r="G155" t="s">
        <v>7</v>
      </c>
      <c r="H155" t="s">
        <v>217</v>
      </c>
      <c r="I155" t="s">
        <v>217</v>
      </c>
      <c r="J155" t="s">
        <v>7</v>
      </c>
      <c r="K155" t="str">
        <f t="shared" si="2"/>
        <v>04100145</v>
      </c>
      <c r="L155">
        <v>76892000</v>
      </c>
      <c r="M155">
        <v>17001000</v>
      </c>
    </row>
    <row r="156" spans="1:13">
      <c r="A156" t="s">
        <v>117</v>
      </c>
      <c r="B156" t="s">
        <v>251</v>
      </c>
      <c r="C156" t="s">
        <v>141</v>
      </c>
      <c r="D156" t="s">
        <v>250</v>
      </c>
      <c r="E156" t="s">
        <v>237</v>
      </c>
      <c r="F156" t="s">
        <v>238</v>
      </c>
      <c r="G156" t="s">
        <v>7</v>
      </c>
      <c r="H156" t="s">
        <v>217</v>
      </c>
      <c r="I156" t="s">
        <v>217</v>
      </c>
      <c r="J156" t="s">
        <v>7</v>
      </c>
      <c r="K156" t="str">
        <f t="shared" si="2"/>
        <v>04100198</v>
      </c>
      <c r="L156">
        <v>76892000</v>
      </c>
      <c r="M156">
        <v>66001000</v>
      </c>
    </row>
    <row r="157" spans="1:13">
      <c r="A157" t="s">
        <v>117</v>
      </c>
      <c r="B157" t="s">
        <v>251</v>
      </c>
      <c r="C157" t="s">
        <v>172</v>
      </c>
      <c r="D157" t="s">
        <v>258</v>
      </c>
      <c r="E157" t="s">
        <v>237</v>
      </c>
      <c r="F157" t="s">
        <v>238</v>
      </c>
      <c r="G157" t="s">
        <v>7</v>
      </c>
      <c r="H157" t="s">
        <v>217</v>
      </c>
      <c r="I157" t="s">
        <v>217</v>
      </c>
      <c r="J157" t="s">
        <v>7</v>
      </c>
      <c r="K157" t="str">
        <f t="shared" si="2"/>
        <v>04100230</v>
      </c>
      <c r="L157">
        <v>76001000</v>
      </c>
      <c r="M157">
        <v>44001000</v>
      </c>
    </row>
    <row r="158" spans="1:13">
      <c r="A158" t="s">
        <v>117</v>
      </c>
      <c r="B158" t="s">
        <v>251</v>
      </c>
      <c r="C158" t="s">
        <v>118</v>
      </c>
      <c r="D158" t="s">
        <v>112</v>
      </c>
      <c r="E158" t="s">
        <v>237</v>
      </c>
      <c r="F158" t="s">
        <v>238</v>
      </c>
      <c r="G158" t="s">
        <v>7</v>
      </c>
      <c r="H158" t="s">
        <v>217</v>
      </c>
      <c r="I158" t="s">
        <v>217</v>
      </c>
      <c r="J158" t="s">
        <v>7</v>
      </c>
      <c r="K158" t="str">
        <f t="shared" si="2"/>
        <v>04100079</v>
      </c>
      <c r="L158">
        <v>76892000</v>
      </c>
      <c r="M158">
        <v>5088000</v>
      </c>
    </row>
    <row r="159" spans="1:13">
      <c r="A159" t="s">
        <v>117</v>
      </c>
      <c r="B159" t="s">
        <v>251</v>
      </c>
      <c r="C159" t="s">
        <v>145</v>
      </c>
      <c r="D159" t="s">
        <v>254</v>
      </c>
      <c r="E159" t="s">
        <v>237</v>
      </c>
      <c r="F159" t="s">
        <v>238</v>
      </c>
      <c r="G159" t="s">
        <v>7</v>
      </c>
      <c r="H159" t="s">
        <v>217</v>
      </c>
      <c r="I159" t="s">
        <v>217</v>
      </c>
      <c r="J159" t="s">
        <v>7</v>
      </c>
      <c r="K159" t="str">
        <f t="shared" si="2"/>
        <v>04100358</v>
      </c>
      <c r="L159">
        <v>76892000</v>
      </c>
      <c r="M159">
        <v>76364000</v>
      </c>
    </row>
    <row r="160" spans="1:13">
      <c r="A160" t="s">
        <v>117</v>
      </c>
      <c r="B160" t="s">
        <v>251</v>
      </c>
      <c r="C160" t="s">
        <v>152</v>
      </c>
      <c r="D160" t="s">
        <v>252</v>
      </c>
      <c r="E160" t="s">
        <v>237</v>
      </c>
      <c r="F160" t="s">
        <v>238</v>
      </c>
      <c r="G160" t="s">
        <v>7</v>
      </c>
      <c r="H160" t="s">
        <v>217</v>
      </c>
      <c r="I160" t="s">
        <v>217</v>
      </c>
      <c r="J160" t="s">
        <v>7</v>
      </c>
      <c r="K160" t="str">
        <f t="shared" si="2"/>
        <v>04100411</v>
      </c>
      <c r="L160">
        <v>76892000</v>
      </c>
      <c r="M160">
        <v>76111000</v>
      </c>
    </row>
    <row r="161" spans="1:13">
      <c r="A161" t="s">
        <v>117</v>
      </c>
      <c r="B161" t="s">
        <v>251</v>
      </c>
      <c r="C161" t="s">
        <v>174</v>
      </c>
      <c r="D161" t="s">
        <v>253</v>
      </c>
      <c r="E161" t="s">
        <v>237</v>
      </c>
      <c r="F161" t="s">
        <v>238</v>
      </c>
      <c r="G161" t="s">
        <v>7</v>
      </c>
      <c r="H161" t="s">
        <v>217</v>
      </c>
      <c r="I161" t="s">
        <v>217</v>
      </c>
      <c r="J161" t="s">
        <v>7</v>
      </c>
      <c r="K161" t="str">
        <f t="shared" si="2"/>
        <v>04100412</v>
      </c>
      <c r="L161">
        <v>76892000</v>
      </c>
      <c r="M161">
        <v>76895000</v>
      </c>
    </row>
    <row r="162" spans="1:13">
      <c r="A162" t="s">
        <v>152</v>
      </c>
      <c r="B162" t="s">
        <v>252</v>
      </c>
      <c r="C162" t="s">
        <v>162</v>
      </c>
      <c r="D162" t="s">
        <v>245</v>
      </c>
      <c r="E162" t="s">
        <v>237</v>
      </c>
      <c r="F162" t="s">
        <v>238</v>
      </c>
      <c r="G162" t="s">
        <v>7</v>
      </c>
      <c r="H162" t="s">
        <v>217</v>
      </c>
      <c r="I162" t="s">
        <v>217</v>
      </c>
      <c r="J162" t="s">
        <v>7</v>
      </c>
      <c r="K162" t="str">
        <f t="shared" si="2"/>
        <v>04110126</v>
      </c>
      <c r="L162">
        <v>76111000</v>
      </c>
      <c r="M162">
        <v>19001000</v>
      </c>
    </row>
    <row r="163" spans="1:13">
      <c r="A163" t="s">
        <v>152</v>
      </c>
      <c r="B163" t="s">
        <v>252</v>
      </c>
      <c r="C163" t="s">
        <v>118</v>
      </c>
      <c r="D163" t="s">
        <v>112</v>
      </c>
      <c r="E163" t="s">
        <v>237</v>
      </c>
      <c r="F163" t="s">
        <v>238</v>
      </c>
      <c r="G163" t="s">
        <v>7</v>
      </c>
      <c r="H163" t="s">
        <v>217</v>
      </c>
      <c r="I163" t="s">
        <v>217</v>
      </c>
      <c r="J163" t="s">
        <v>7</v>
      </c>
      <c r="K163" t="str">
        <f t="shared" si="2"/>
        <v>04110079</v>
      </c>
      <c r="L163">
        <v>76111000</v>
      </c>
      <c r="M163">
        <v>5088000</v>
      </c>
    </row>
    <row r="164" spans="1:13">
      <c r="A164" t="s">
        <v>123</v>
      </c>
      <c r="B164" t="s">
        <v>263</v>
      </c>
      <c r="C164" t="s">
        <v>132</v>
      </c>
      <c r="D164" t="s">
        <v>255</v>
      </c>
      <c r="E164" t="s">
        <v>237</v>
      </c>
      <c r="F164" t="s">
        <v>238</v>
      </c>
      <c r="G164" t="s">
        <v>7</v>
      </c>
      <c r="H164" t="s">
        <v>217</v>
      </c>
      <c r="I164" t="s">
        <v>217</v>
      </c>
      <c r="J164" t="s">
        <v>7</v>
      </c>
      <c r="K164" t="str">
        <f t="shared" si="2"/>
        <v>02920441</v>
      </c>
      <c r="L164">
        <v>5360000</v>
      </c>
      <c r="M164">
        <v>11001000</v>
      </c>
    </row>
    <row r="165" spans="1:13">
      <c r="A165" t="s">
        <v>147</v>
      </c>
      <c r="B165" t="s">
        <v>236</v>
      </c>
      <c r="C165" t="s">
        <v>180</v>
      </c>
      <c r="D165" t="s">
        <v>240</v>
      </c>
      <c r="E165" t="s">
        <v>237</v>
      </c>
      <c r="F165" t="s">
        <v>238</v>
      </c>
      <c r="G165" t="s">
        <v>7</v>
      </c>
      <c r="H165" t="s">
        <v>217</v>
      </c>
      <c r="I165" t="s">
        <v>217</v>
      </c>
      <c r="J165" t="s">
        <v>7</v>
      </c>
      <c r="K165" t="str">
        <f t="shared" si="2"/>
        <v>00220025</v>
      </c>
      <c r="L165">
        <v>25430000</v>
      </c>
      <c r="M165">
        <v>11001000</v>
      </c>
    </row>
    <row r="166" spans="1:13">
      <c r="A166" t="s">
        <v>119</v>
      </c>
      <c r="B166" t="s">
        <v>274</v>
      </c>
      <c r="C166" t="s">
        <v>116</v>
      </c>
      <c r="D166" t="s">
        <v>235</v>
      </c>
      <c r="E166" t="s">
        <v>237</v>
      </c>
      <c r="F166" t="s">
        <v>238</v>
      </c>
      <c r="G166" t="s">
        <v>7</v>
      </c>
      <c r="H166" t="s">
        <v>217</v>
      </c>
      <c r="I166" t="s">
        <v>217</v>
      </c>
      <c r="J166" t="s">
        <v>7</v>
      </c>
      <c r="K166" t="str">
        <f t="shared" si="2"/>
        <v>01110021</v>
      </c>
      <c r="L166">
        <v>8433000</v>
      </c>
      <c r="M166">
        <v>11001000</v>
      </c>
    </row>
    <row r="167" spans="1:13">
      <c r="A167" t="s">
        <v>119</v>
      </c>
      <c r="B167" t="s">
        <v>274</v>
      </c>
      <c r="C167" t="s">
        <v>147</v>
      </c>
      <c r="D167" t="s">
        <v>236</v>
      </c>
      <c r="E167" t="s">
        <v>237</v>
      </c>
      <c r="F167" t="s">
        <v>238</v>
      </c>
      <c r="G167" t="s">
        <v>7</v>
      </c>
      <c r="H167" t="s">
        <v>217</v>
      </c>
      <c r="I167" t="s">
        <v>217</v>
      </c>
      <c r="J167" t="s">
        <v>7</v>
      </c>
      <c r="K167" t="str">
        <f t="shared" si="2"/>
        <v>01110022</v>
      </c>
      <c r="L167">
        <v>8433000</v>
      </c>
      <c r="M167">
        <v>25430000</v>
      </c>
    </row>
    <row r="168" spans="1:13">
      <c r="A168" t="s">
        <v>119</v>
      </c>
      <c r="B168" t="s">
        <v>274</v>
      </c>
      <c r="C168" t="s">
        <v>184</v>
      </c>
      <c r="D168" t="s">
        <v>239</v>
      </c>
      <c r="E168" t="s">
        <v>237</v>
      </c>
      <c r="F168" t="s">
        <v>238</v>
      </c>
      <c r="G168" t="s">
        <v>7</v>
      </c>
      <c r="H168" t="s">
        <v>217</v>
      </c>
      <c r="I168" t="s">
        <v>217</v>
      </c>
      <c r="J168" t="s">
        <v>7</v>
      </c>
      <c r="K168" t="str">
        <f t="shared" si="2"/>
        <v>01110024</v>
      </c>
      <c r="L168">
        <v>8433000</v>
      </c>
      <c r="M168">
        <v>11001000</v>
      </c>
    </row>
    <row r="169" spans="1:13">
      <c r="A169" t="s">
        <v>119</v>
      </c>
      <c r="B169" t="s">
        <v>274</v>
      </c>
      <c r="C169" t="s">
        <v>180</v>
      </c>
      <c r="D169" t="s">
        <v>240</v>
      </c>
      <c r="E169" t="s">
        <v>237</v>
      </c>
      <c r="F169" t="s">
        <v>238</v>
      </c>
      <c r="G169" t="s">
        <v>7</v>
      </c>
      <c r="H169" t="s">
        <v>217</v>
      </c>
      <c r="I169" t="s">
        <v>217</v>
      </c>
      <c r="J169" t="s">
        <v>7</v>
      </c>
      <c r="K169" t="str">
        <f t="shared" si="2"/>
        <v>01110025</v>
      </c>
      <c r="L169">
        <v>8433000</v>
      </c>
      <c r="M169">
        <v>11001000</v>
      </c>
    </row>
    <row r="170" spans="1:13">
      <c r="A170" t="s">
        <v>119</v>
      </c>
      <c r="B170" t="s">
        <v>274</v>
      </c>
      <c r="C170" t="s">
        <v>118</v>
      </c>
      <c r="D170" t="s">
        <v>112</v>
      </c>
      <c r="E170" t="s">
        <v>237</v>
      </c>
      <c r="F170" t="s">
        <v>238</v>
      </c>
      <c r="G170" t="s">
        <v>7</v>
      </c>
      <c r="H170" t="s">
        <v>217</v>
      </c>
      <c r="I170" t="s">
        <v>217</v>
      </c>
      <c r="J170" t="s">
        <v>7</v>
      </c>
      <c r="K170" t="str">
        <f t="shared" si="2"/>
        <v>01110079</v>
      </c>
      <c r="L170">
        <v>8433000</v>
      </c>
      <c r="M170">
        <v>5088000</v>
      </c>
    </row>
    <row r="171" spans="1:13">
      <c r="A171" t="s">
        <v>119</v>
      </c>
      <c r="B171" t="s">
        <v>274</v>
      </c>
      <c r="C171" t="s">
        <v>185</v>
      </c>
      <c r="D171" t="s">
        <v>257</v>
      </c>
      <c r="E171" t="s">
        <v>237</v>
      </c>
      <c r="F171" t="s">
        <v>238</v>
      </c>
      <c r="G171" t="s">
        <v>7</v>
      </c>
      <c r="H171" t="s">
        <v>217</v>
      </c>
      <c r="I171" t="s">
        <v>217</v>
      </c>
      <c r="J171" t="s">
        <v>7</v>
      </c>
      <c r="K171" t="str">
        <f t="shared" si="2"/>
        <v>01110080</v>
      </c>
      <c r="L171">
        <v>8433000</v>
      </c>
      <c r="M171">
        <v>5001000</v>
      </c>
    </row>
    <row r="172" spans="1:13">
      <c r="A172" t="s">
        <v>119</v>
      </c>
      <c r="B172" t="s">
        <v>274</v>
      </c>
      <c r="C172" t="s">
        <v>133</v>
      </c>
      <c r="D172" t="s">
        <v>241</v>
      </c>
      <c r="E172" t="s">
        <v>237</v>
      </c>
      <c r="F172" t="s">
        <v>238</v>
      </c>
      <c r="G172" t="s">
        <v>7</v>
      </c>
      <c r="H172" t="s">
        <v>217</v>
      </c>
      <c r="I172" t="s">
        <v>217</v>
      </c>
      <c r="J172" t="s">
        <v>7</v>
      </c>
      <c r="K172" t="str">
        <f t="shared" si="2"/>
        <v>01110090</v>
      </c>
      <c r="L172">
        <v>8433000</v>
      </c>
      <c r="M172">
        <v>5615000</v>
      </c>
    </row>
    <row r="173" spans="1:13">
      <c r="A173" t="s">
        <v>119</v>
      </c>
      <c r="B173" t="s">
        <v>274</v>
      </c>
      <c r="C173" t="s">
        <v>124</v>
      </c>
      <c r="D173" t="s">
        <v>242</v>
      </c>
      <c r="E173" t="s">
        <v>237</v>
      </c>
      <c r="F173" t="s">
        <v>238</v>
      </c>
      <c r="G173" t="s">
        <v>7</v>
      </c>
      <c r="H173" t="s">
        <v>217</v>
      </c>
      <c r="I173" t="s">
        <v>217</v>
      </c>
      <c r="J173" t="s">
        <v>7</v>
      </c>
      <c r="K173" t="str">
        <f t="shared" si="2"/>
        <v>01110092</v>
      </c>
      <c r="L173">
        <v>8433000</v>
      </c>
      <c r="M173">
        <v>5001000</v>
      </c>
    </row>
    <row r="174" spans="1:13">
      <c r="A174" t="s">
        <v>119</v>
      </c>
      <c r="B174" t="s">
        <v>274</v>
      </c>
      <c r="C174" t="s">
        <v>140</v>
      </c>
      <c r="D174" t="s">
        <v>243</v>
      </c>
      <c r="E174" t="s">
        <v>237</v>
      </c>
      <c r="F174" t="s">
        <v>238</v>
      </c>
      <c r="G174" t="s">
        <v>7</v>
      </c>
      <c r="H174" t="s">
        <v>217</v>
      </c>
      <c r="I174" t="s">
        <v>217</v>
      </c>
      <c r="J174" t="s">
        <v>7</v>
      </c>
      <c r="K174" t="str">
        <f t="shared" si="2"/>
        <v>01110113</v>
      </c>
      <c r="L174">
        <v>8433000</v>
      </c>
      <c r="M174">
        <v>13001000</v>
      </c>
    </row>
    <row r="175" spans="1:13">
      <c r="A175" t="s">
        <v>119</v>
      </c>
      <c r="B175" t="s">
        <v>274</v>
      </c>
      <c r="C175" t="s">
        <v>156</v>
      </c>
      <c r="D175" t="s">
        <v>244</v>
      </c>
      <c r="E175" t="s">
        <v>237</v>
      </c>
      <c r="F175" t="s">
        <v>238</v>
      </c>
      <c r="G175" t="s">
        <v>7</v>
      </c>
      <c r="H175" t="s">
        <v>217</v>
      </c>
      <c r="I175" t="s">
        <v>217</v>
      </c>
      <c r="J175" t="s">
        <v>7</v>
      </c>
      <c r="K175" t="str">
        <f t="shared" si="2"/>
        <v>01110118</v>
      </c>
      <c r="L175">
        <v>8433000</v>
      </c>
      <c r="M175">
        <v>47001000</v>
      </c>
    </row>
    <row r="176" spans="1:13">
      <c r="A176" t="s">
        <v>119</v>
      </c>
      <c r="B176" t="s">
        <v>274</v>
      </c>
      <c r="C176" t="s">
        <v>181</v>
      </c>
      <c r="D176" t="s">
        <v>260</v>
      </c>
      <c r="E176" t="s">
        <v>237</v>
      </c>
      <c r="F176" t="s">
        <v>238</v>
      </c>
      <c r="G176" t="s">
        <v>7</v>
      </c>
      <c r="H176" t="s">
        <v>217</v>
      </c>
      <c r="I176" t="s">
        <v>217</v>
      </c>
      <c r="J176" t="s">
        <v>7</v>
      </c>
      <c r="K176" t="str">
        <f t="shared" si="2"/>
        <v>01110119</v>
      </c>
      <c r="L176">
        <v>8433000</v>
      </c>
      <c r="M176">
        <v>47053000</v>
      </c>
    </row>
    <row r="177" spans="1:13">
      <c r="A177" t="s">
        <v>119</v>
      </c>
      <c r="B177" t="s">
        <v>274</v>
      </c>
      <c r="C177" t="s">
        <v>162</v>
      </c>
      <c r="D177" t="s">
        <v>245</v>
      </c>
      <c r="E177" t="s">
        <v>237</v>
      </c>
      <c r="F177" t="s">
        <v>238</v>
      </c>
      <c r="G177" t="s">
        <v>7</v>
      </c>
      <c r="H177" t="s">
        <v>217</v>
      </c>
      <c r="I177" t="s">
        <v>217</v>
      </c>
      <c r="J177" t="s">
        <v>7</v>
      </c>
      <c r="K177" t="str">
        <f t="shared" si="2"/>
        <v>01110126</v>
      </c>
      <c r="L177">
        <v>8433000</v>
      </c>
      <c r="M177">
        <v>19001000</v>
      </c>
    </row>
    <row r="178" spans="1:13">
      <c r="A178" t="s">
        <v>119</v>
      </c>
      <c r="B178" t="s">
        <v>274</v>
      </c>
      <c r="C178" t="s">
        <v>166</v>
      </c>
      <c r="D178" t="s">
        <v>246</v>
      </c>
      <c r="E178" t="s">
        <v>237</v>
      </c>
      <c r="F178" t="s">
        <v>238</v>
      </c>
      <c r="G178" t="s">
        <v>7</v>
      </c>
      <c r="H178" t="s">
        <v>217</v>
      </c>
      <c r="I178" t="s">
        <v>217</v>
      </c>
      <c r="J178" t="s">
        <v>7</v>
      </c>
      <c r="K178" t="str">
        <f t="shared" si="2"/>
        <v>01110131</v>
      </c>
      <c r="L178">
        <v>8433000</v>
      </c>
      <c r="M178">
        <v>76109000</v>
      </c>
    </row>
    <row r="179" spans="1:13">
      <c r="A179" t="s">
        <v>119</v>
      </c>
      <c r="B179" t="s">
        <v>274</v>
      </c>
      <c r="C179" t="s">
        <v>130</v>
      </c>
      <c r="D179" t="s">
        <v>247</v>
      </c>
      <c r="E179" t="s">
        <v>237</v>
      </c>
      <c r="F179" t="s">
        <v>238</v>
      </c>
      <c r="G179" t="s">
        <v>7</v>
      </c>
      <c r="H179" t="s">
        <v>217</v>
      </c>
      <c r="I179" t="s">
        <v>217</v>
      </c>
      <c r="J179" t="s">
        <v>7</v>
      </c>
      <c r="K179" t="str">
        <f t="shared" si="2"/>
        <v>01110134</v>
      </c>
      <c r="L179">
        <v>8433000</v>
      </c>
      <c r="M179">
        <v>66170000</v>
      </c>
    </row>
    <row r="180" spans="1:13">
      <c r="A180" t="s">
        <v>119</v>
      </c>
      <c r="B180" t="s">
        <v>274</v>
      </c>
      <c r="C180" t="s">
        <v>155</v>
      </c>
      <c r="D180" t="s">
        <v>248</v>
      </c>
      <c r="E180" t="s">
        <v>237</v>
      </c>
      <c r="F180" t="s">
        <v>238</v>
      </c>
      <c r="G180" t="s">
        <v>7</v>
      </c>
      <c r="H180" t="s">
        <v>217</v>
      </c>
      <c r="I180" t="s">
        <v>217</v>
      </c>
      <c r="J180" t="s">
        <v>7</v>
      </c>
      <c r="K180" t="str">
        <f t="shared" si="2"/>
        <v>01110142</v>
      </c>
      <c r="L180">
        <v>8433000</v>
      </c>
      <c r="M180">
        <v>63001000</v>
      </c>
    </row>
    <row r="181" spans="1:13">
      <c r="A181" t="s">
        <v>119</v>
      </c>
      <c r="B181" t="s">
        <v>274</v>
      </c>
      <c r="C181" t="s">
        <v>153</v>
      </c>
      <c r="D181" t="s">
        <v>249</v>
      </c>
      <c r="E181" t="s">
        <v>237</v>
      </c>
      <c r="F181" t="s">
        <v>238</v>
      </c>
      <c r="G181" t="s">
        <v>7</v>
      </c>
      <c r="H181" t="s">
        <v>217</v>
      </c>
      <c r="I181" t="s">
        <v>217</v>
      </c>
      <c r="J181" t="s">
        <v>7</v>
      </c>
      <c r="K181" t="str">
        <f t="shared" si="2"/>
        <v>01110145</v>
      </c>
      <c r="L181">
        <v>8433000</v>
      </c>
      <c r="M181">
        <v>17001000</v>
      </c>
    </row>
    <row r="182" spans="1:13">
      <c r="A182" t="s">
        <v>119</v>
      </c>
      <c r="B182" t="s">
        <v>274</v>
      </c>
      <c r="C182" t="s">
        <v>176</v>
      </c>
      <c r="D182" t="s">
        <v>261</v>
      </c>
      <c r="E182" t="s">
        <v>237</v>
      </c>
      <c r="F182" t="s">
        <v>238</v>
      </c>
      <c r="G182" t="s">
        <v>7</v>
      </c>
      <c r="H182" t="s">
        <v>217</v>
      </c>
      <c r="I182" t="s">
        <v>217</v>
      </c>
      <c r="J182" t="s">
        <v>7</v>
      </c>
      <c r="K182" t="str">
        <f t="shared" si="2"/>
        <v>01110146</v>
      </c>
      <c r="L182">
        <v>8433000</v>
      </c>
      <c r="M182">
        <v>17001000</v>
      </c>
    </row>
    <row r="183" spans="1:13">
      <c r="A183" t="s">
        <v>119</v>
      </c>
      <c r="B183" t="s">
        <v>274</v>
      </c>
      <c r="C183" t="s">
        <v>141</v>
      </c>
      <c r="D183" t="s">
        <v>250</v>
      </c>
      <c r="E183" t="s">
        <v>237</v>
      </c>
      <c r="F183" t="s">
        <v>238</v>
      </c>
      <c r="G183" t="s">
        <v>7</v>
      </c>
      <c r="H183" t="s">
        <v>217</v>
      </c>
      <c r="I183" t="s">
        <v>217</v>
      </c>
      <c r="J183" t="s">
        <v>7</v>
      </c>
      <c r="K183" t="str">
        <f t="shared" si="2"/>
        <v>01110198</v>
      </c>
      <c r="L183">
        <v>8433000</v>
      </c>
      <c r="M183">
        <v>66001000</v>
      </c>
    </row>
    <row r="184" spans="1:13">
      <c r="A184" t="s">
        <v>119</v>
      </c>
      <c r="B184" t="s">
        <v>274</v>
      </c>
      <c r="C184" t="s">
        <v>172</v>
      </c>
      <c r="D184" t="s">
        <v>258</v>
      </c>
      <c r="E184" t="s">
        <v>237</v>
      </c>
      <c r="F184" t="s">
        <v>238</v>
      </c>
      <c r="G184" t="s">
        <v>7</v>
      </c>
      <c r="H184" t="s">
        <v>217</v>
      </c>
      <c r="I184" t="s">
        <v>217</v>
      </c>
      <c r="J184" t="s">
        <v>7</v>
      </c>
      <c r="K184" t="str">
        <f t="shared" si="2"/>
        <v>01110230</v>
      </c>
      <c r="L184">
        <v>8433000</v>
      </c>
      <c r="M184">
        <v>44430000</v>
      </c>
    </row>
    <row r="185" spans="1:13">
      <c r="A185" t="s">
        <v>119</v>
      </c>
      <c r="B185" t="s">
        <v>274</v>
      </c>
      <c r="C185" t="s">
        <v>186</v>
      </c>
      <c r="D185" t="s">
        <v>262</v>
      </c>
      <c r="E185" t="s">
        <v>237</v>
      </c>
      <c r="F185" t="s">
        <v>238</v>
      </c>
      <c r="G185" t="s">
        <v>7</v>
      </c>
      <c r="H185" t="s">
        <v>217</v>
      </c>
      <c r="I185" t="s">
        <v>217</v>
      </c>
      <c r="J185" t="s">
        <v>7</v>
      </c>
      <c r="K185" t="str">
        <f t="shared" si="2"/>
        <v>01110239</v>
      </c>
      <c r="L185">
        <v>8433000</v>
      </c>
      <c r="M185">
        <v>44001000</v>
      </c>
    </row>
    <row r="186" spans="1:13">
      <c r="A186" t="s">
        <v>119</v>
      </c>
      <c r="B186" t="s">
        <v>274</v>
      </c>
      <c r="C186" t="s">
        <v>145</v>
      </c>
      <c r="D186" t="s">
        <v>254</v>
      </c>
      <c r="E186" t="s">
        <v>237</v>
      </c>
      <c r="F186" t="s">
        <v>238</v>
      </c>
      <c r="G186" t="s">
        <v>7</v>
      </c>
      <c r="H186" t="s">
        <v>217</v>
      </c>
      <c r="I186" t="s">
        <v>217</v>
      </c>
      <c r="J186" t="s">
        <v>7</v>
      </c>
      <c r="K186" t="str">
        <f t="shared" si="2"/>
        <v>01110358</v>
      </c>
      <c r="L186">
        <v>8433000</v>
      </c>
      <c r="M186">
        <v>76001000</v>
      </c>
    </row>
    <row r="187" spans="1:13">
      <c r="A187" t="s">
        <v>119</v>
      </c>
      <c r="B187" t="s">
        <v>274</v>
      </c>
      <c r="C187" t="s">
        <v>117</v>
      </c>
      <c r="D187" t="s">
        <v>251</v>
      </c>
      <c r="E187" t="s">
        <v>237</v>
      </c>
      <c r="F187" t="s">
        <v>238</v>
      </c>
      <c r="G187" t="s">
        <v>7</v>
      </c>
      <c r="H187" t="s">
        <v>217</v>
      </c>
      <c r="I187" t="s">
        <v>217</v>
      </c>
      <c r="J187" t="s">
        <v>7</v>
      </c>
      <c r="K187" t="str">
        <f t="shared" si="2"/>
        <v>01110410</v>
      </c>
      <c r="L187">
        <v>8433000</v>
      </c>
      <c r="M187">
        <v>76892000</v>
      </c>
    </row>
    <row r="188" spans="1:13">
      <c r="A188" t="s">
        <v>119</v>
      </c>
      <c r="B188" t="s">
        <v>274</v>
      </c>
      <c r="C188" t="s">
        <v>152</v>
      </c>
      <c r="D188" t="s">
        <v>252</v>
      </c>
      <c r="E188" t="s">
        <v>237</v>
      </c>
      <c r="F188" t="s">
        <v>238</v>
      </c>
      <c r="G188" t="s">
        <v>7</v>
      </c>
      <c r="H188" t="s">
        <v>217</v>
      </c>
      <c r="I188" t="s">
        <v>217</v>
      </c>
      <c r="J188" t="s">
        <v>7</v>
      </c>
      <c r="K188" t="str">
        <f t="shared" si="2"/>
        <v>01110411</v>
      </c>
      <c r="L188">
        <v>8433000</v>
      </c>
      <c r="M188">
        <v>76111000</v>
      </c>
    </row>
    <row r="189" spans="1:13">
      <c r="A189" t="s">
        <v>119</v>
      </c>
      <c r="B189" t="s">
        <v>274</v>
      </c>
      <c r="C189" t="s">
        <v>174</v>
      </c>
      <c r="D189" t="s">
        <v>253</v>
      </c>
      <c r="E189" t="s">
        <v>237</v>
      </c>
      <c r="F189" t="s">
        <v>238</v>
      </c>
      <c r="G189" t="s">
        <v>7</v>
      </c>
      <c r="H189" t="s">
        <v>217</v>
      </c>
      <c r="I189" t="s">
        <v>217</v>
      </c>
      <c r="J189" t="s">
        <v>7</v>
      </c>
      <c r="K189" t="str">
        <f t="shared" si="2"/>
        <v>01110412</v>
      </c>
      <c r="L189">
        <v>8433000</v>
      </c>
      <c r="M189">
        <v>76001000</v>
      </c>
    </row>
    <row r="190" spans="1:13">
      <c r="A190" t="s">
        <v>116</v>
      </c>
      <c r="B190" t="s">
        <v>235</v>
      </c>
      <c r="C190" t="s">
        <v>119</v>
      </c>
      <c r="D190" t="s">
        <v>274</v>
      </c>
      <c r="E190" t="s">
        <v>237</v>
      </c>
      <c r="F190" t="s">
        <v>238</v>
      </c>
      <c r="G190" t="s">
        <v>7</v>
      </c>
      <c r="H190" t="s">
        <v>217</v>
      </c>
      <c r="I190" t="s">
        <v>217</v>
      </c>
      <c r="J190" t="s">
        <v>7</v>
      </c>
      <c r="K190" t="str">
        <f t="shared" si="2"/>
        <v>00210111</v>
      </c>
      <c r="L190">
        <v>11001000</v>
      </c>
      <c r="M190">
        <v>8433000</v>
      </c>
    </row>
    <row r="191" spans="1:13">
      <c r="A191" t="s">
        <v>118</v>
      </c>
      <c r="B191" t="s">
        <v>112</v>
      </c>
      <c r="C191" t="s">
        <v>119</v>
      </c>
      <c r="D191" t="s">
        <v>274</v>
      </c>
      <c r="E191" t="s">
        <v>237</v>
      </c>
      <c r="F191" t="s">
        <v>238</v>
      </c>
      <c r="G191" t="s">
        <v>7</v>
      </c>
      <c r="H191" t="s">
        <v>217</v>
      </c>
      <c r="I191" t="s">
        <v>217</v>
      </c>
      <c r="J191" t="s">
        <v>7</v>
      </c>
      <c r="K191" t="str">
        <f t="shared" si="2"/>
        <v>00790111</v>
      </c>
      <c r="L191">
        <v>5088000</v>
      </c>
      <c r="M191">
        <v>8433000</v>
      </c>
    </row>
    <row r="192" spans="1:13">
      <c r="A192" t="s">
        <v>124</v>
      </c>
      <c r="B192" t="s">
        <v>242</v>
      </c>
      <c r="C192" t="s">
        <v>119</v>
      </c>
      <c r="D192" t="s">
        <v>274</v>
      </c>
      <c r="E192" t="s">
        <v>237</v>
      </c>
      <c r="F192" t="s">
        <v>238</v>
      </c>
      <c r="G192" t="s">
        <v>7</v>
      </c>
      <c r="H192" t="s">
        <v>217</v>
      </c>
      <c r="I192" t="s">
        <v>217</v>
      </c>
      <c r="J192" t="s">
        <v>7</v>
      </c>
      <c r="K192" t="str">
        <f t="shared" si="2"/>
        <v>00920111</v>
      </c>
      <c r="L192">
        <v>5001000</v>
      </c>
      <c r="M192">
        <v>8433000</v>
      </c>
    </row>
    <row r="193" spans="1:13">
      <c r="A193" t="s">
        <v>140</v>
      </c>
      <c r="B193" t="s">
        <v>243</v>
      </c>
      <c r="C193" t="s">
        <v>119</v>
      </c>
      <c r="D193" t="s">
        <v>274</v>
      </c>
      <c r="E193" t="s">
        <v>237</v>
      </c>
      <c r="F193" t="s">
        <v>238</v>
      </c>
      <c r="G193" t="s">
        <v>7</v>
      </c>
      <c r="H193" t="s">
        <v>217</v>
      </c>
      <c r="I193" t="s">
        <v>217</v>
      </c>
      <c r="J193" t="s">
        <v>7</v>
      </c>
      <c r="K193" t="str">
        <f t="shared" si="2"/>
        <v>01130111</v>
      </c>
      <c r="L193">
        <v>13001000</v>
      </c>
      <c r="M193">
        <v>8433000</v>
      </c>
    </row>
    <row r="194" spans="1:13">
      <c r="A194" t="s">
        <v>156</v>
      </c>
      <c r="B194" t="s">
        <v>244</v>
      </c>
      <c r="C194" t="s">
        <v>119</v>
      </c>
      <c r="D194" t="s">
        <v>274</v>
      </c>
      <c r="E194" t="s">
        <v>237</v>
      </c>
      <c r="F194" t="s">
        <v>238</v>
      </c>
      <c r="G194" t="s">
        <v>7</v>
      </c>
      <c r="H194" t="s">
        <v>217</v>
      </c>
      <c r="I194" t="s">
        <v>217</v>
      </c>
      <c r="J194" t="s">
        <v>7</v>
      </c>
      <c r="K194" t="str">
        <f t="shared" si="2"/>
        <v>01180111</v>
      </c>
      <c r="L194">
        <v>47001000</v>
      </c>
      <c r="M194">
        <v>8433000</v>
      </c>
    </row>
    <row r="195" spans="1:13">
      <c r="A195" t="s">
        <v>130</v>
      </c>
      <c r="B195" t="s">
        <v>247</v>
      </c>
      <c r="C195" t="s">
        <v>119</v>
      </c>
      <c r="D195" t="s">
        <v>274</v>
      </c>
      <c r="E195" t="s">
        <v>237</v>
      </c>
      <c r="F195" t="s">
        <v>238</v>
      </c>
      <c r="G195" t="s">
        <v>7</v>
      </c>
      <c r="H195" t="s">
        <v>217</v>
      </c>
      <c r="I195" t="s">
        <v>217</v>
      </c>
      <c r="J195" t="s">
        <v>7</v>
      </c>
      <c r="K195" t="str">
        <f t="shared" ref="K195:K258" si="3">A195&amp;C195</f>
        <v>01340111</v>
      </c>
      <c r="L195">
        <v>66170000</v>
      </c>
      <c r="M195">
        <v>8433000</v>
      </c>
    </row>
    <row r="196" spans="1:13">
      <c r="A196" t="s">
        <v>153</v>
      </c>
      <c r="B196" t="s">
        <v>249</v>
      </c>
      <c r="C196" t="s">
        <v>119</v>
      </c>
      <c r="D196" t="s">
        <v>274</v>
      </c>
      <c r="E196" t="s">
        <v>237</v>
      </c>
      <c r="F196" t="s">
        <v>238</v>
      </c>
      <c r="G196" t="s">
        <v>7</v>
      </c>
      <c r="H196" t="s">
        <v>217</v>
      </c>
      <c r="I196" t="s">
        <v>217</v>
      </c>
      <c r="J196" t="s">
        <v>7</v>
      </c>
      <c r="K196" t="str">
        <f t="shared" si="3"/>
        <v>01450111</v>
      </c>
      <c r="L196">
        <v>17001000</v>
      </c>
      <c r="M196">
        <v>8433000</v>
      </c>
    </row>
    <row r="197" spans="1:13">
      <c r="A197" t="s">
        <v>141</v>
      </c>
      <c r="B197" t="s">
        <v>250</v>
      </c>
      <c r="C197" t="s">
        <v>119</v>
      </c>
      <c r="D197" t="s">
        <v>274</v>
      </c>
      <c r="E197" t="s">
        <v>237</v>
      </c>
      <c r="F197" t="s">
        <v>238</v>
      </c>
      <c r="G197" t="s">
        <v>7</v>
      </c>
      <c r="H197" t="s">
        <v>217</v>
      </c>
      <c r="I197" t="s">
        <v>217</v>
      </c>
      <c r="J197" t="s">
        <v>7</v>
      </c>
      <c r="K197" t="str">
        <f t="shared" si="3"/>
        <v>01980111</v>
      </c>
      <c r="L197">
        <v>66001000</v>
      </c>
      <c r="M197">
        <v>8433000</v>
      </c>
    </row>
    <row r="198" spans="1:13">
      <c r="A198" t="s">
        <v>186</v>
      </c>
      <c r="B198" t="s">
        <v>262</v>
      </c>
      <c r="C198" t="s">
        <v>119</v>
      </c>
      <c r="D198" t="s">
        <v>274</v>
      </c>
      <c r="E198" t="s">
        <v>237</v>
      </c>
      <c r="F198" t="s">
        <v>238</v>
      </c>
      <c r="G198" t="s">
        <v>7</v>
      </c>
      <c r="H198" t="s">
        <v>217</v>
      </c>
      <c r="I198" t="s">
        <v>217</v>
      </c>
      <c r="J198" t="s">
        <v>7</v>
      </c>
      <c r="K198" t="str">
        <f t="shared" si="3"/>
        <v>02390111</v>
      </c>
      <c r="L198">
        <v>44001000</v>
      </c>
      <c r="M198">
        <v>8433000</v>
      </c>
    </row>
    <row r="199" spans="1:13">
      <c r="A199" t="s">
        <v>145</v>
      </c>
      <c r="B199" t="s">
        <v>254</v>
      </c>
      <c r="C199" t="s">
        <v>119</v>
      </c>
      <c r="D199" t="s">
        <v>274</v>
      </c>
      <c r="E199" t="s">
        <v>237</v>
      </c>
      <c r="F199" t="s">
        <v>238</v>
      </c>
      <c r="G199" t="s">
        <v>7</v>
      </c>
      <c r="H199" t="s">
        <v>217</v>
      </c>
      <c r="I199" t="s">
        <v>217</v>
      </c>
      <c r="J199" t="s">
        <v>7</v>
      </c>
      <c r="K199" t="str">
        <f t="shared" si="3"/>
        <v>03580111</v>
      </c>
      <c r="L199">
        <v>76364000</v>
      </c>
      <c r="M199">
        <v>8001000</v>
      </c>
    </row>
    <row r="200" spans="1:13">
      <c r="A200" t="s">
        <v>117</v>
      </c>
      <c r="B200" t="s">
        <v>251</v>
      </c>
      <c r="C200" t="s">
        <v>119</v>
      </c>
      <c r="D200" t="s">
        <v>274</v>
      </c>
      <c r="E200" t="s">
        <v>237</v>
      </c>
      <c r="F200" t="s">
        <v>238</v>
      </c>
      <c r="G200" t="s">
        <v>7</v>
      </c>
      <c r="H200" t="s">
        <v>217</v>
      </c>
      <c r="I200" t="s">
        <v>217</v>
      </c>
      <c r="J200" t="s">
        <v>7</v>
      </c>
      <c r="K200" t="str">
        <f t="shared" si="3"/>
        <v>04100111</v>
      </c>
      <c r="L200">
        <v>76892000</v>
      </c>
      <c r="M200">
        <v>8433000</v>
      </c>
    </row>
    <row r="201" spans="1:13">
      <c r="A201" t="s">
        <v>118</v>
      </c>
      <c r="B201" t="s">
        <v>112</v>
      </c>
      <c r="C201" t="s">
        <v>181</v>
      </c>
      <c r="D201" t="s">
        <v>260</v>
      </c>
      <c r="E201" t="s">
        <v>237</v>
      </c>
      <c r="F201" t="s">
        <v>238</v>
      </c>
      <c r="G201" t="s">
        <v>7</v>
      </c>
      <c r="H201" t="s">
        <v>217</v>
      </c>
      <c r="I201" t="s">
        <v>217</v>
      </c>
      <c r="J201" t="s">
        <v>7</v>
      </c>
      <c r="K201" t="str">
        <f t="shared" si="3"/>
        <v>00790119</v>
      </c>
      <c r="L201">
        <v>5088000</v>
      </c>
      <c r="M201">
        <v>47001000</v>
      </c>
    </row>
    <row r="202" spans="1:13">
      <c r="A202" t="s">
        <v>118</v>
      </c>
      <c r="B202" t="s">
        <v>112</v>
      </c>
      <c r="C202" t="s">
        <v>186</v>
      </c>
      <c r="D202" t="s">
        <v>262</v>
      </c>
      <c r="E202" t="s">
        <v>237</v>
      </c>
      <c r="F202" t="s">
        <v>238</v>
      </c>
      <c r="G202" t="s">
        <v>7</v>
      </c>
      <c r="H202" t="s">
        <v>217</v>
      </c>
      <c r="I202" t="s">
        <v>217</v>
      </c>
      <c r="J202" t="s">
        <v>7</v>
      </c>
      <c r="K202" t="str">
        <f t="shared" si="3"/>
        <v>00790239</v>
      </c>
      <c r="L202">
        <v>5088000</v>
      </c>
      <c r="M202">
        <v>47001000</v>
      </c>
    </row>
    <row r="203" spans="1:13">
      <c r="A203" t="s">
        <v>118</v>
      </c>
      <c r="B203" t="s">
        <v>112</v>
      </c>
      <c r="C203" t="s">
        <v>176</v>
      </c>
      <c r="D203" t="s">
        <v>261</v>
      </c>
      <c r="E203" t="s">
        <v>237</v>
      </c>
      <c r="F203" t="s">
        <v>238</v>
      </c>
      <c r="G203" t="s">
        <v>7</v>
      </c>
      <c r="H203" t="s">
        <v>217</v>
      </c>
      <c r="I203" t="s">
        <v>217</v>
      </c>
      <c r="J203" t="s">
        <v>7</v>
      </c>
      <c r="K203" t="str">
        <f t="shared" si="3"/>
        <v>00790146</v>
      </c>
      <c r="L203">
        <v>5088000</v>
      </c>
      <c r="M203">
        <v>17001000</v>
      </c>
    </row>
    <row r="204" spans="1:13">
      <c r="A204" t="s">
        <v>118</v>
      </c>
      <c r="B204" t="s">
        <v>112</v>
      </c>
      <c r="C204" t="s">
        <v>174</v>
      </c>
      <c r="D204" t="s">
        <v>253</v>
      </c>
      <c r="E204" t="s">
        <v>237</v>
      </c>
      <c r="F204" t="s">
        <v>238</v>
      </c>
      <c r="G204" t="s">
        <v>7</v>
      </c>
      <c r="H204" t="s">
        <v>217</v>
      </c>
      <c r="I204" t="s">
        <v>217</v>
      </c>
      <c r="J204" t="s">
        <v>7</v>
      </c>
      <c r="K204" t="str">
        <f t="shared" si="3"/>
        <v>00790412</v>
      </c>
      <c r="L204">
        <v>5088000</v>
      </c>
      <c r="M204">
        <v>76001000</v>
      </c>
    </row>
    <row r="205" spans="1:13">
      <c r="A205" t="s">
        <v>123</v>
      </c>
      <c r="B205" t="s">
        <v>263</v>
      </c>
      <c r="C205" t="s">
        <v>116</v>
      </c>
      <c r="D205" t="s">
        <v>235</v>
      </c>
      <c r="E205" t="s">
        <v>237</v>
      </c>
      <c r="F205" t="s">
        <v>238</v>
      </c>
      <c r="G205" t="s">
        <v>7</v>
      </c>
      <c r="H205" t="s">
        <v>217</v>
      </c>
      <c r="I205" t="s">
        <v>217</v>
      </c>
      <c r="J205" t="s">
        <v>7</v>
      </c>
      <c r="K205" t="str">
        <f t="shared" si="3"/>
        <v>02920021</v>
      </c>
      <c r="L205">
        <v>5360000</v>
      </c>
      <c r="M205">
        <v>11001000</v>
      </c>
    </row>
    <row r="206" spans="1:13">
      <c r="A206" t="s">
        <v>123</v>
      </c>
      <c r="B206" t="s">
        <v>263</v>
      </c>
      <c r="C206" t="s">
        <v>117</v>
      </c>
      <c r="D206" t="s">
        <v>251</v>
      </c>
      <c r="E206" t="s">
        <v>237</v>
      </c>
      <c r="F206" t="s">
        <v>238</v>
      </c>
      <c r="G206" t="s">
        <v>7</v>
      </c>
      <c r="H206" t="s">
        <v>217</v>
      </c>
      <c r="I206" t="s">
        <v>217</v>
      </c>
      <c r="J206" t="s">
        <v>7</v>
      </c>
      <c r="K206" t="str">
        <f t="shared" si="3"/>
        <v>02920410</v>
      </c>
      <c r="L206">
        <v>5360000</v>
      </c>
      <c r="M206">
        <v>76892000</v>
      </c>
    </row>
    <row r="207" spans="1:13">
      <c r="A207" t="s">
        <v>116</v>
      </c>
      <c r="B207" t="s">
        <v>235</v>
      </c>
      <c r="C207" t="s">
        <v>123</v>
      </c>
      <c r="D207" t="s">
        <v>263</v>
      </c>
      <c r="E207" t="s">
        <v>237</v>
      </c>
      <c r="F207" t="s">
        <v>238</v>
      </c>
      <c r="G207" t="s">
        <v>7</v>
      </c>
      <c r="H207" t="s">
        <v>217</v>
      </c>
      <c r="I207" t="s">
        <v>217</v>
      </c>
      <c r="J207" t="s">
        <v>7</v>
      </c>
      <c r="K207" t="str">
        <f t="shared" si="3"/>
        <v>00210292</v>
      </c>
      <c r="L207">
        <v>11001000</v>
      </c>
      <c r="M207">
        <v>5360000</v>
      </c>
    </row>
    <row r="208" spans="1:13">
      <c r="A208" t="s">
        <v>118</v>
      </c>
      <c r="B208" t="s">
        <v>112</v>
      </c>
      <c r="C208" t="s">
        <v>123</v>
      </c>
      <c r="D208" t="s">
        <v>263</v>
      </c>
      <c r="E208" t="s">
        <v>237</v>
      </c>
      <c r="F208" t="s">
        <v>238</v>
      </c>
      <c r="G208" t="s">
        <v>7</v>
      </c>
      <c r="H208" t="s">
        <v>217</v>
      </c>
      <c r="I208" t="s">
        <v>217</v>
      </c>
      <c r="J208" t="s">
        <v>7</v>
      </c>
      <c r="K208" t="str">
        <f t="shared" si="3"/>
        <v>00790292</v>
      </c>
      <c r="L208">
        <v>5088000</v>
      </c>
      <c r="M208">
        <v>5360000</v>
      </c>
    </row>
    <row r="209" spans="1:13">
      <c r="A209" t="s">
        <v>117</v>
      </c>
      <c r="B209" t="s">
        <v>251</v>
      </c>
      <c r="C209" t="s">
        <v>123</v>
      </c>
      <c r="D209" t="s">
        <v>263</v>
      </c>
      <c r="E209" t="s">
        <v>237</v>
      </c>
      <c r="F209" t="s">
        <v>238</v>
      </c>
      <c r="G209" t="s">
        <v>7</v>
      </c>
      <c r="H209" t="s">
        <v>217</v>
      </c>
      <c r="I209" t="s">
        <v>217</v>
      </c>
      <c r="J209" t="s">
        <v>7</v>
      </c>
      <c r="K209" t="str">
        <f t="shared" si="3"/>
        <v>04100292</v>
      </c>
      <c r="L209">
        <v>76892000</v>
      </c>
      <c r="M209">
        <v>5360000</v>
      </c>
    </row>
    <row r="210" spans="1:13">
      <c r="A210" t="s">
        <v>141</v>
      </c>
      <c r="B210" t="s">
        <v>250</v>
      </c>
      <c r="C210" t="s">
        <v>123</v>
      </c>
      <c r="D210" t="s">
        <v>263</v>
      </c>
      <c r="E210" t="s">
        <v>237</v>
      </c>
      <c r="F210" t="s">
        <v>238</v>
      </c>
      <c r="G210" t="s">
        <v>7</v>
      </c>
      <c r="H210" t="s">
        <v>217</v>
      </c>
      <c r="I210" t="s">
        <v>217</v>
      </c>
      <c r="J210" t="s">
        <v>7</v>
      </c>
      <c r="K210" t="str">
        <f t="shared" si="3"/>
        <v>01980292</v>
      </c>
      <c r="L210">
        <v>66001000</v>
      </c>
      <c r="M210">
        <v>5360000</v>
      </c>
    </row>
    <row r="211" spans="1:13">
      <c r="A211" t="s">
        <v>119</v>
      </c>
      <c r="B211" t="s">
        <v>274</v>
      </c>
      <c r="C211" t="s">
        <v>123</v>
      </c>
      <c r="D211" t="s">
        <v>263</v>
      </c>
      <c r="E211" t="s">
        <v>237</v>
      </c>
      <c r="F211" t="s">
        <v>238</v>
      </c>
      <c r="G211" t="s">
        <v>7</v>
      </c>
      <c r="H211" t="s">
        <v>217</v>
      </c>
      <c r="I211" t="s">
        <v>217</v>
      </c>
      <c r="J211" t="s">
        <v>7</v>
      </c>
      <c r="K211" t="str">
        <f t="shared" si="3"/>
        <v>01110292</v>
      </c>
      <c r="L211">
        <v>8433000</v>
      </c>
      <c r="M211">
        <v>5360000</v>
      </c>
    </row>
    <row r="212" spans="1:13">
      <c r="A212" t="s">
        <v>124</v>
      </c>
      <c r="B212" t="s">
        <v>242</v>
      </c>
      <c r="C212" t="s">
        <v>174</v>
      </c>
      <c r="D212" t="s">
        <v>253</v>
      </c>
      <c r="E212" t="s">
        <v>237</v>
      </c>
      <c r="F212" t="s">
        <v>238</v>
      </c>
      <c r="G212" t="s">
        <v>7</v>
      </c>
      <c r="H212" t="s">
        <v>217</v>
      </c>
      <c r="I212" t="s">
        <v>217</v>
      </c>
      <c r="J212" t="s">
        <v>7</v>
      </c>
      <c r="K212" t="str">
        <f t="shared" si="3"/>
        <v>00920412</v>
      </c>
      <c r="L212">
        <v>5001000</v>
      </c>
      <c r="M212">
        <v>76895000</v>
      </c>
    </row>
    <row r="213" spans="1:13">
      <c r="A213" t="s">
        <v>117</v>
      </c>
      <c r="B213" t="s">
        <v>251</v>
      </c>
      <c r="C213" t="s">
        <v>186</v>
      </c>
      <c r="D213" t="s">
        <v>262</v>
      </c>
      <c r="E213" t="s">
        <v>237</v>
      </c>
      <c r="F213" t="s">
        <v>238</v>
      </c>
      <c r="G213" t="s">
        <v>7</v>
      </c>
      <c r="H213" t="s">
        <v>217</v>
      </c>
      <c r="I213" t="s">
        <v>217</v>
      </c>
      <c r="J213" t="s">
        <v>7</v>
      </c>
      <c r="K213" t="str">
        <f t="shared" si="3"/>
        <v>04100239</v>
      </c>
      <c r="L213">
        <v>76892000</v>
      </c>
      <c r="M213">
        <v>47001000</v>
      </c>
    </row>
    <row r="214" spans="1:13">
      <c r="A214" t="s">
        <v>117</v>
      </c>
      <c r="B214" t="s">
        <v>251</v>
      </c>
      <c r="C214" t="s">
        <v>176</v>
      </c>
      <c r="D214" t="s">
        <v>261</v>
      </c>
      <c r="E214" t="s">
        <v>237</v>
      </c>
      <c r="F214" t="s">
        <v>238</v>
      </c>
      <c r="G214" t="s">
        <v>7</v>
      </c>
      <c r="H214" t="s">
        <v>217</v>
      </c>
      <c r="I214" t="s">
        <v>217</v>
      </c>
      <c r="J214" t="s">
        <v>7</v>
      </c>
      <c r="K214" t="str">
        <f t="shared" si="3"/>
        <v>04100146</v>
      </c>
      <c r="L214">
        <v>76892000</v>
      </c>
      <c r="M214">
        <v>17001000</v>
      </c>
    </row>
    <row r="215" spans="1:13">
      <c r="A215" t="s">
        <v>117</v>
      </c>
      <c r="B215" t="s">
        <v>251</v>
      </c>
      <c r="C215" t="s">
        <v>181</v>
      </c>
      <c r="D215" t="s">
        <v>260</v>
      </c>
      <c r="E215" t="s">
        <v>237</v>
      </c>
      <c r="F215" t="s">
        <v>238</v>
      </c>
      <c r="G215" t="s">
        <v>7</v>
      </c>
      <c r="H215" t="s">
        <v>217</v>
      </c>
      <c r="I215" t="s">
        <v>217</v>
      </c>
      <c r="J215" t="s">
        <v>7</v>
      </c>
      <c r="K215" t="str">
        <f t="shared" si="3"/>
        <v>04100119</v>
      </c>
      <c r="L215">
        <v>76892000</v>
      </c>
      <c r="M215">
        <v>47001000</v>
      </c>
    </row>
    <row r="216" spans="1:13">
      <c r="A216" t="s">
        <v>163</v>
      </c>
      <c r="B216" t="s">
        <v>275</v>
      </c>
      <c r="C216" t="s">
        <v>116</v>
      </c>
      <c r="D216" t="s">
        <v>235</v>
      </c>
      <c r="E216" t="s">
        <v>237</v>
      </c>
      <c r="F216" t="s">
        <v>238</v>
      </c>
      <c r="G216" t="s">
        <v>7</v>
      </c>
      <c r="H216" t="s">
        <v>217</v>
      </c>
      <c r="I216" t="s">
        <v>217</v>
      </c>
      <c r="J216" t="s">
        <v>7</v>
      </c>
      <c r="K216" t="str">
        <f t="shared" si="3"/>
        <v>00320021</v>
      </c>
      <c r="L216">
        <v>25899000</v>
      </c>
      <c r="M216">
        <v>11001000</v>
      </c>
    </row>
    <row r="217" spans="1:13">
      <c r="A217" t="s">
        <v>163</v>
      </c>
      <c r="B217" t="s">
        <v>275</v>
      </c>
      <c r="C217" t="s">
        <v>188</v>
      </c>
      <c r="D217" t="s">
        <v>259</v>
      </c>
      <c r="E217" t="s">
        <v>237</v>
      </c>
      <c r="F217" t="s">
        <v>238</v>
      </c>
      <c r="G217" t="s">
        <v>7</v>
      </c>
      <c r="H217" t="s">
        <v>217</v>
      </c>
      <c r="I217" t="s">
        <v>217</v>
      </c>
      <c r="J217" t="s">
        <v>7</v>
      </c>
      <c r="K217" t="str">
        <f t="shared" si="3"/>
        <v>00320033</v>
      </c>
      <c r="L217">
        <v>25899000</v>
      </c>
      <c r="M217">
        <v>11001000</v>
      </c>
    </row>
    <row r="218" spans="1:13">
      <c r="A218" t="s">
        <v>163</v>
      </c>
      <c r="B218" t="s">
        <v>275</v>
      </c>
      <c r="C218" t="s">
        <v>117</v>
      </c>
      <c r="D218" t="s">
        <v>251</v>
      </c>
      <c r="E218" t="s">
        <v>237</v>
      </c>
      <c r="F218" t="s">
        <v>238</v>
      </c>
      <c r="G218" t="s">
        <v>7</v>
      </c>
      <c r="H218" t="s">
        <v>217</v>
      </c>
      <c r="I218" t="s">
        <v>217</v>
      </c>
      <c r="J218" t="s">
        <v>7</v>
      </c>
      <c r="K218" t="str">
        <f t="shared" si="3"/>
        <v>00320410</v>
      </c>
      <c r="L218">
        <v>25899000</v>
      </c>
      <c r="M218">
        <v>76892000</v>
      </c>
    </row>
    <row r="219" spans="1:13">
      <c r="A219" t="s">
        <v>116</v>
      </c>
      <c r="B219" t="s">
        <v>235</v>
      </c>
      <c r="C219" t="s">
        <v>163</v>
      </c>
      <c r="D219" t="s">
        <v>275</v>
      </c>
      <c r="E219" t="s">
        <v>237</v>
      </c>
      <c r="F219" t="s">
        <v>238</v>
      </c>
      <c r="G219" t="s">
        <v>7</v>
      </c>
      <c r="H219" t="s">
        <v>217</v>
      </c>
      <c r="I219" t="s">
        <v>217</v>
      </c>
      <c r="J219" t="s">
        <v>7</v>
      </c>
      <c r="K219" t="str">
        <f t="shared" si="3"/>
        <v>00210032</v>
      </c>
      <c r="L219">
        <v>11001000</v>
      </c>
      <c r="M219">
        <v>25899000</v>
      </c>
    </row>
    <row r="220" spans="1:13">
      <c r="A220" t="s">
        <v>141</v>
      </c>
      <c r="B220" t="s">
        <v>250</v>
      </c>
      <c r="C220" t="s">
        <v>163</v>
      </c>
      <c r="D220" t="s">
        <v>275</v>
      </c>
      <c r="E220" t="s">
        <v>237</v>
      </c>
      <c r="F220" t="s">
        <v>238</v>
      </c>
      <c r="G220" t="s">
        <v>7</v>
      </c>
      <c r="H220" t="s">
        <v>217</v>
      </c>
      <c r="I220" t="s">
        <v>217</v>
      </c>
      <c r="J220" t="s">
        <v>7</v>
      </c>
      <c r="K220" t="str">
        <f t="shared" si="3"/>
        <v>01980032</v>
      </c>
      <c r="L220">
        <v>66001000</v>
      </c>
      <c r="M220">
        <v>25899000</v>
      </c>
    </row>
    <row r="221" spans="1:13">
      <c r="A221" t="s">
        <v>117</v>
      </c>
      <c r="B221" t="s">
        <v>251</v>
      </c>
      <c r="C221" t="s">
        <v>163</v>
      </c>
      <c r="D221" t="s">
        <v>275</v>
      </c>
      <c r="E221" t="s">
        <v>237</v>
      </c>
      <c r="F221" t="s">
        <v>238</v>
      </c>
      <c r="G221" t="s">
        <v>7</v>
      </c>
      <c r="H221" t="s">
        <v>217</v>
      </c>
      <c r="I221" t="s">
        <v>217</v>
      </c>
      <c r="J221" t="s">
        <v>7</v>
      </c>
      <c r="K221" t="str">
        <f t="shared" si="3"/>
        <v>04100032</v>
      </c>
      <c r="L221">
        <v>76892000</v>
      </c>
      <c r="M221">
        <v>25899000</v>
      </c>
    </row>
    <row r="222" spans="1:13">
      <c r="A222" t="s">
        <v>119</v>
      </c>
      <c r="B222" t="s">
        <v>274</v>
      </c>
      <c r="C222" t="s">
        <v>163</v>
      </c>
      <c r="D222" t="s">
        <v>275</v>
      </c>
      <c r="E222" t="s">
        <v>237</v>
      </c>
      <c r="F222" t="s">
        <v>238</v>
      </c>
      <c r="G222" t="s">
        <v>7</v>
      </c>
      <c r="H222" t="s">
        <v>217</v>
      </c>
      <c r="I222" t="s">
        <v>217</v>
      </c>
      <c r="J222" t="s">
        <v>7</v>
      </c>
      <c r="K222" t="str">
        <f t="shared" si="3"/>
        <v>01110032</v>
      </c>
      <c r="L222">
        <v>8433000</v>
      </c>
      <c r="M222">
        <v>25899000</v>
      </c>
    </row>
    <row r="223" spans="1:13">
      <c r="A223" t="s">
        <v>124</v>
      </c>
      <c r="B223" t="s">
        <v>242</v>
      </c>
      <c r="C223" t="s">
        <v>181</v>
      </c>
      <c r="D223" t="s">
        <v>260</v>
      </c>
      <c r="E223" t="s">
        <v>237</v>
      </c>
      <c r="F223" t="s">
        <v>238</v>
      </c>
      <c r="G223" t="s">
        <v>7</v>
      </c>
      <c r="H223" t="s">
        <v>217</v>
      </c>
      <c r="I223" t="s">
        <v>217</v>
      </c>
      <c r="J223" t="s">
        <v>7</v>
      </c>
      <c r="K223" t="str">
        <f t="shared" si="3"/>
        <v>00920119</v>
      </c>
      <c r="L223">
        <v>5001000</v>
      </c>
      <c r="M223">
        <v>47001000</v>
      </c>
    </row>
    <row r="224" spans="1:13">
      <c r="A224" t="s">
        <v>124</v>
      </c>
      <c r="B224" t="s">
        <v>242</v>
      </c>
      <c r="C224" t="s">
        <v>186</v>
      </c>
      <c r="D224" t="s">
        <v>262</v>
      </c>
      <c r="E224" t="s">
        <v>237</v>
      </c>
      <c r="F224" t="s">
        <v>238</v>
      </c>
      <c r="G224" t="s">
        <v>7</v>
      </c>
      <c r="H224" t="s">
        <v>217</v>
      </c>
      <c r="I224" t="s">
        <v>217</v>
      </c>
      <c r="J224" t="s">
        <v>7</v>
      </c>
      <c r="K224" t="str">
        <f t="shared" si="3"/>
        <v>00920239</v>
      </c>
      <c r="L224">
        <v>5001000</v>
      </c>
      <c r="M224">
        <v>44001000</v>
      </c>
    </row>
    <row r="225" spans="1:13">
      <c r="A225" t="s">
        <v>124</v>
      </c>
      <c r="B225" t="s">
        <v>242</v>
      </c>
      <c r="C225" t="s">
        <v>176</v>
      </c>
      <c r="D225" t="s">
        <v>261</v>
      </c>
      <c r="E225" t="s">
        <v>237</v>
      </c>
      <c r="F225" t="s">
        <v>238</v>
      </c>
      <c r="G225" t="s">
        <v>7</v>
      </c>
      <c r="H225" t="s">
        <v>217</v>
      </c>
      <c r="I225" t="s">
        <v>217</v>
      </c>
      <c r="J225" t="s">
        <v>7</v>
      </c>
      <c r="K225" t="str">
        <f t="shared" si="3"/>
        <v>00920146</v>
      </c>
      <c r="L225">
        <v>5001000</v>
      </c>
      <c r="M225">
        <v>17001000</v>
      </c>
    </row>
    <row r="226" spans="1:13">
      <c r="A226" t="s">
        <v>118</v>
      </c>
      <c r="B226" t="s">
        <v>112</v>
      </c>
      <c r="C226" t="s">
        <v>163</v>
      </c>
      <c r="D226" t="s">
        <v>275</v>
      </c>
      <c r="E226" t="s">
        <v>237</v>
      </c>
      <c r="F226" t="s">
        <v>238</v>
      </c>
      <c r="G226" t="s">
        <v>7</v>
      </c>
      <c r="H226" t="s">
        <v>217</v>
      </c>
      <c r="I226" t="s">
        <v>217</v>
      </c>
      <c r="J226" t="s">
        <v>7</v>
      </c>
      <c r="K226" t="str">
        <f t="shared" si="3"/>
        <v>00790032</v>
      </c>
      <c r="L226">
        <v>5088000</v>
      </c>
      <c r="M226">
        <v>11001000</v>
      </c>
    </row>
    <row r="227" spans="1:13">
      <c r="A227" t="s">
        <v>124</v>
      </c>
      <c r="B227" t="s">
        <v>242</v>
      </c>
      <c r="C227" t="s">
        <v>163</v>
      </c>
      <c r="D227" t="s">
        <v>275</v>
      </c>
      <c r="E227" t="s">
        <v>237</v>
      </c>
      <c r="F227" t="s">
        <v>238</v>
      </c>
      <c r="G227" t="s">
        <v>7</v>
      </c>
      <c r="H227" t="s">
        <v>217</v>
      </c>
      <c r="I227" t="s">
        <v>217</v>
      </c>
      <c r="J227" t="s">
        <v>7</v>
      </c>
      <c r="K227" t="str">
        <f t="shared" si="3"/>
        <v>00920032</v>
      </c>
      <c r="L227">
        <v>5001000</v>
      </c>
      <c r="M227">
        <v>25899000</v>
      </c>
    </row>
    <row r="228" spans="1:13">
      <c r="A228" t="s">
        <v>118</v>
      </c>
      <c r="B228" t="s">
        <v>112</v>
      </c>
      <c r="C228" t="s">
        <v>188</v>
      </c>
      <c r="D228" t="s">
        <v>259</v>
      </c>
      <c r="E228" t="s">
        <v>237</v>
      </c>
      <c r="F228" t="s">
        <v>238</v>
      </c>
      <c r="G228" t="s">
        <v>7</v>
      </c>
      <c r="H228" t="s">
        <v>217</v>
      </c>
      <c r="I228" t="s">
        <v>217</v>
      </c>
      <c r="J228" t="s">
        <v>7</v>
      </c>
      <c r="K228" t="str">
        <f t="shared" si="3"/>
        <v>00790033</v>
      </c>
      <c r="L228">
        <v>5088000</v>
      </c>
      <c r="M228">
        <v>11001000</v>
      </c>
    </row>
    <row r="229" spans="1:13">
      <c r="A229" t="s">
        <v>124</v>
      </c>
      <c r="B229" t="s">
        <v>242</v>
      </c>
      <c r="C229" t="s">
        <v>188</v>
      </c>
      <c r="D229" t="s">
        <v>259</v>
      </c>
      <c r="E229" t="s">
        <v>237</v>
      </c>
      <c r="F229" t="s">
        <v>238</v>
      </c>
      <c r="G229" t="s">
        <v>7</v>
      </c>
      <c r="H229" t="s">
        <v>217</v>
      </c>
      <c r="I229" t="s">
        <v>217</v>
      </c>
      <c r="J229" t="s">
        <v>7</v>
      </c>
      <c r="K229" t="str">
        <f t="shared" si="3"/>
        <v>00920033</v>
      </c>
      <c r="L229">
        <v>5001000</v>
      </c>
      <c r="M229">
        <v>11001000</v>
      </c>
    </row>
    <row r="230" spans="1:13">
      <c r="A230" t="s">
        <v>117</v>
      </c>
      <c r="B230" t="s">
        <v>251</v>
      </c>
      <c r="C230" t="s">
        <v>188</v>
      </c>
      <c r="D230" t="s">
        <v>259</v>
      </c>
      <c r="E230" t="s">
        <v>237</v>
      </c>
      <c r="F230" t="s">
        <v>238</v>
      </c>
      <c r="G230" t="s">
        <v>7</v>
      </c>
      <c r="H230" t="s">
        <v>217</v>
      </c>
      <c r="I230" t="s">
        <v>217</v>
      </c>
      <c r="J230" t="s">
        <v>7</v>
      </c>
      <c r="K230" t="str">
        <f t="shared" si="3"/>
        <v>04100033</v>
      </c>
      <c r="L230">
        <v>76892000</v>
      </c>
      <c r="M230">
        <v>11001000</v>
      </c>
    </row>
    <row r="231" spans="1:13">
      <c r="A231" t="s">
        <v>119</v>
      </c>
      <c r="B231" t="s">
        <v>274</v>
      </c>
      <c r="C231" t="s">
        <v>188</v>
      </c>
      <c r="D231" t="s">
        <v>259</v>
      </c>
      <c r="E231" t="s">
        <v>237</v>
      </c>
      <c r="F231" t="s">
        <v>238</v>
      </c>
      <c r="G231" t="s">
        <v>7</v>
      </c>
      <c r="H231" t="s">
        <v>217</v>
      </c>
      <c r="I231" t="s">
        <v>217</v>
      </c>
      <c r="J231" t="s">
        <v>7</v>
      </c>
      <c r="K231" t="str">
        <f t="shared" si="3"/>
        <v>01110033</v>
      </c>
      <c r="L231">
        <v>8433000</v>
      </c>
      <c r="M231">
        <v>11001000</v>
      </c>
    </row>
    <row r="232" spans="1:13">
      <c r="A232" t="s">
        <v>116</v>
      </c>
      <c r="B232" t="s">
        <v>235</v>
      </c>
      <c r="C232" t="s">
        <v>181</v>
      </c>
      <c r="D232" t="s">
        <v>260</v>
      </c>
      <c r="E232" t="s">
        <v>237</v>
      </c>
      <c r="F232" t="s">
        <v>238</v>
      </c>
      <c r="G232" t="s">
        <v>7</v>
      </c>
      <c r="H232" t="s">
        <v>217</v>
      </c>
      <c r="I232" t="s">
        <v>217</v>
      </c>
      <c r="J232" t="s">
        <v>7</v>
      </c>
      <c r="K232" t="str">
        <f t="shared" si="3"/>
        <v>00210119</v>
      </c>
      <c r="L232">
        <v>11001000</v>
      </c>
      <c r="M232">
        <v>47001000</v>
      </c>
    </row>
    <row r="233" spans="1:13">
      <c r="A233" t="s">
        <v>116</v>
      </c>
      <c r="B233" t="s">
        <v>235</v>
      </c>
      <c r="C233" t="s">
        <v>172</v>
      </c>
      <c r="D233" t="s">
        <v>258</v>
      </c>
      <c r="E233" t="s">
        <v>237</v>
      </c>
      <c r="F233" t="s">
        <v>238</v>
      </c>
      <c r="G233" t="s">
        <v>7</v>
      </c>
      <c r="H233" t="s">
        <v>217</v>
      </c>
      <c r="I233" t="s">
        <v>217</v>
      </c>
      <c r="J233" t="s">
        <v>7</v>
      </c>
      <c r="K233" t="str">
        <f t="shared" si="3"/>
        <v>00210230</v>
      </c>
      <c r="L233">
        <v>11001000</v>
      </c>
      <c r="M233">
        <v>44430000</v>
      </c>
    </row>
    <row r="234" spans="1:13">
      <c r="A234" t="s">
        <v>116</v>
      </c>
      <c r="B234" t="s">
        <v>235</v>
      </c>
      <c r="C234" t="s">
        <v>186</v>
      </c>
      <c r="D234" t="s">
        <v>262</v>
      </c>
      <c r="E234" t="s">
        <v>237</v>
      </c>
      <c r="F234" t="s">
        <v>238</v>
      </c>
      <c r="G234" t="s">
        <v>7</v>
      </c>
      <c r="H234" t="s">
        <v>217</v>
      </c>
      <c r="I234" t="s">
        <v>217</v>
      </c>
      <c r="J234" t="s">
        <v>7</v>
      </c>
      <c r="K234" t="str">
        <f t="shared" si="3"/>
        <v>00210239</v>
      </c>
      <c r="L234">
        <v>11001000</v>
      </c>
      <c r="M234">
        <v>44001000</v>
      </c>
    </row>
    <row r="235" spans="1:13">
      <c r="A235" t="s">
        <v>116</v>
      </c>
      <c r="B235" t="s">
        <v>235</v>
      </c>
      <c r="C235" t="s">
        <v>176</v>
      </c>
      <c r="D235" t="s">
        <v>261</v>
      </c>
      <c r="E235" t="s">
        <v>237</v>
      </c>
      <c r="F235" t="s">
        <v>238</v>
      </c>
      <c r="G235" t="s">
        <v>7</v>
      </c>
      <c r="H235" t="s">
        <v>217</v>
      </c>
      <c r="I235" t="s">
        <v>217</v>
      </c>
      <c r="J235" t="s">
        <v>7</v>
      </c>
      <c r="K235" t="str">
        <f t="shared" si="3"/>
        <v>00210146</v>
      </c>
      <c r="L235">
        <v>11001000</v>
      </c>
      <c r="M235">
        <v>17001000</v>
      </c>
    </row>
    <row r="236" spans="1:13">
      <c r="A236" t="s">
        <v>123</v>
      </c>
      <c r="B236" t="s">
        <v>263</v>
      </c>
      <c r="C236" t="s">
        <v>166</v>
      </c>
      <c r="D236" t="s">
        <v>246</v>
      </c>
      <c r="E236" t="s">
        <v>237</v>
      </c>
      <c r="F236" t="s">
        <v>238</v>
      </c>
      <c r="G236" t="s">
        <v>7</v>
      </c>
      <c r="H236" t="s">
        <v>217</v>
      </c>
      <c r="I236" t="s">
        <v>217</v>
      </c>
      <c r="J236" t="s">
        <v>7</v>
      </c>
      <c r="K236" t="str">
        <f t="shared" si="3"/>
        <v>02920131</v>
      </c>
      <c r="L236">
        <v>5360000</v>
      </c>
      <c r="M236">
        <v>76109000</v>
      </c>
    </row>
    <row r="237" spans="1:13">
      <c r="A237" t="s">
        <v>141</v>
      </c>
      <c r="B237" t="s">
        <v>250</v>
      </c>
      <c r="C237" t="s">
        <v>186</v>
      </c>
      <c r="D237" t="s">
        <v>262</v>
      </c>
      <c r="E237" t="s">
        <v>237</v>
      </c>
      <c r="F237" t="s">
        <v>238</v>
      </c>
      <c r="G237" t="s">
        <v>7</v>
      </c>
      <c r="H237" t="s">
        <v>217</v>
      </c>
      <c r="I237" t="s">
        <v>217</v>
      </c>
      <c r="J237" t="s">
        <v>7</v>
      </c>
      <c r="K237" t="str">
        <f t="shared" si="3"/>
        <v>01980239</v>
      </c>
      <c r="L237">
        <v>66001000</v>
      </c>
      <c r="M237">
        <v>44001000</v>
      </c>
    </row>
    <row r="238" spans="1:13">
      <c r="A238" t="s">
        <v>141</v>
      </c>
      <c r="B238" t="s">
        <v>250</v>
      </c>
      <c r="C238" t="s">
        <v>181</v>
      </c>
      <c r="D238" t="s">
        <v>260</v>
      </c>
      <c r="E238" t="s">
        <v>237</v>
      </c>
      <c r="F238" t="s">
        <v>238</v>
      </c>
      <c r="G238" t="s">
        <v>7</v>
      </c>
      <c r="H238" t="s">
        <v>217</v>
      </c>
      <c r="I238" t="s">
        <v>217</v>
      </c>
      <c r="J238" t="s">
        <v>7</v>
      </c>
      <c r="K238" t="str">
        <f t="shared" si="3"/>
        <v>01980119</v>
      </c>
      <c r="L238">
        <v>66001000</v>
      </c>
      <c r="M238">
        <v>47001000</v>
      </c>
    </row>
    <row r="239" spans="1:13">
      <c r="A239" t="s">
        <v>140</v>
      </c>
      <c r="B239" t="s">
        <v>243</v>
      </c>
      <c r="C239" t="s">
        <v>163</v>
      </c>
      <c r="D239" t="s">
        <v>275</v>
      </c>
      <c r="E239" t="s">
        <v>237</v>
      </c>
      <c r="F239" t="s">
        <v>238</v>
      </c>
      <c r="G239" t="s">
        <v>7</v>
      </c>
      <c r="H239" t="s">
        <v>217</v>
      </c>
      <c r="I239" t="s">
        <v>217</v>
      </c>
      <c r="J239" t="s">
        <v>7</v>
      </c>
      <c r="K239" t="str">
        <f t="shared" si="3"/>
        <v>01130032</v>
      </c>
      <c r="L239">
        <v>13001000</v>
      </c>
      <c r="M239">
        <v>25899000</v>
      </c>
    </row>
    <row r="240" spans="1:13">
      <c r="A240" t="s">
        <v>140</v>
      </c>
      <c r="B240" t="s">
        <v>243</v>
      </c>
      <c r="C240" t="s">
        <v>186</v>
      </c>
      <c r="D240" t="s">
        <v>262</v>
      </c>
      <c r="E240" t="s">
        <v>237</v>
      </c>
      <c r="F240" t="s">
        <v>238</v>
      </c>
      <c r="G240" t="s">
        <v>7</v>
      </c>
      <c r="H240" t="s">
        <v>217</v>
      </c>
      <c r="I240" t="s">
        <v>217</v>
      </c>
      <c r="J240" t="s">
        <v>7</v>
      </c>
      <c r="K240" t="str">
        <f t="shared" si="3"/>
        <v>01130239</v>
      </c>
      <c r="L240">
        <v>13001000</v>
      </c>
      <c r="M240">
        <v>44001000</v>
      </c>
    </row>
    <row r="241" spans="1:13">
      <c r="A241" t="s">
        <v>136</v>
      </c>
      <c r="B241" t="s">
        <v>276</v>
      </c>
      <c r="C241" t="s">
        <v>118</v>
      </c>
      <c r="D241" t="s">
        <v>112</v>
      </c>
      <c r="E241" t="s">
        <v>237</v>
      </c>
      <c r="F241" t="s">
        <v>238</v>
      </c>
      <c r="G241" t="s">
        <v>7</v>
      </c>
      <c r="H241" t="s">
        <v>217</v>
      </c>
      <c r="I241" t="s">
        <v>217</v>
      </c>
      <c r="J241" t="s">
        <v>7</v>
      </c>
      <c r="K241" t="str">
        <f t="shared" si="3"/>
        <v>00740079</v>
      </c>
      <c r="L241">
        <v>5172000</v>
      </c>
      <c r="M241">
        <v>5001000</v>
      </c>
    </row>
    <row r="242" spans="1:13">
      <c r="A242" t="s">
        <v>136</v>
      </c>
      <c r="B242" t="s">
        <v>276</v>
      </c>
      <c r="C242" t="s">
        <v>119</v>
      </c>
      <c r="D242" t="s">
        <v>274</v>
      </c>
      <c r="E242" t="s">
        <v>237</v>
      </c>
      <c r="F242" t="s">
        <v>238</v>
      </c>
      <c r="G242" t="s">
        <v>7</v>
      </c>
      <c r="H242" t="s">
        <v>217</v>
      </c>
      <c r="I242" t="s">
        <v>217</v>
      </c>
      <c r="J242" t="s">
        <v>7</v>
      </c>
      <c r="K242" t="str">
        <f t="shared" si="3"/>
        <v>00740111</v>
      </c>
      <c r="L242">
        <v>5172000</v>
      </c>
      <c r="M242">
        <v>8433000</v>
      </c>
    </row>
    <row r="243" spans="1:13">
      <c r="A243" t="s">
        <v>116</v>
      </c>
      <c r="B243" t="s">
        <v>235</v>
      </c>
      <c r="C243" t="s">
        <v>136</v>
      </c>
      <c r="D243" t="s">
        <v>276</v>
      </c>
      <c r="E243" t="s">
        <v>237</v>
      </c>
      <c r="F243" t="s">
        <v>238</v>
      </c>
      <c r="G243" t="s">
        <v>7</v>
      </c>
      <c r="H243" t="s">
        <v>217</v>
      </c>
      <c r="I243" t="s">
        <v>217</v>
      </c>
      <c r="J243" t="s">
        <v>7</v>
      </c>
      <c r="K243" t="str">
        <f t="shared" si="3"/>
        <v>00210074</v>
      </c>
      <c r="L243">
        <v>11001000</v>
      </c>
      <c r="M243">
        <v>5001000</v>
      </c>
    </row>
    <row r="244" spans="1:13">
      <c r="A244" t="s">
        <v>118</v>
      </c>
      <c r="B244" t="s">
        <v>112</v>
      </c>
      <c r="C244" t="s">
        <v>136</v>
      </c>
      <c r="D244" t="s">
        <v>276</v>
      </c>
      <c r="E244" t="s">
        <v>237</v>
      </c>
      <c r="F244" t="s">
        <v>238</v>
      </c>
      <c r="G244" t="s">
        <v>7</v>
      </c>
      <c r="H244" t="s">
        <v>217</v>
      </c>
      <c r="I244" t="s">
        <v>217</v>
      </c>
      <c r="J244" t="s">
        <v>7</v>
      </c>
      <c r="K244" t="str">
        <f t="shared" si="3"/>
        <v>00790074</v>
      </c>
      <c r="L244">
        <v>5088000</v>
      </c>
      <c r="M244">
        <v>5001000</v>
      </c>
    </row>
    <row r="245" spans="1:13">
      <c r="A245" t="s">
        <v>124</v>
      </c>
      <c r="B245" t="s">
        <v>242</v>
      </c>
      <c r="C245" t="s">
        <v>136</v>
      </c>
      <c r="D245" t="s">
        <v>276</v>
      </c>
      <c r="E245" t="s">
        <v>237</v>
      </c>
      <c r="F245" t="s">
        <v>238</v>
      </c>
      <c r="G245" t="s">
        <v>7</v>
      </c>
      <c r="H245" t="s">
        <v>217</v>
      </c>
      <c r="I245" t="s">
        <v>217</v>
      </c>
      <c r="J245" t="s">
        <v>7</v>
      </c>
      <c r="K245" t="str">
        <f t="shared" si="3"/>
        <v>00920074</v>
      </c>
      <c r="L245">
        <v>5001000</v>
      </c>
      <c r="M245">
        <v>5172000</v>
      </c>
    </row>
    <row r="246" spans="1:13">
      <c r="A246" t="s">
        <v>141</v>
      </c>
      <c r="B246" t="s">
        <v>250</v>
      </c>
      <c r="C246" t="s">
        <v>136</v>
      </c>
      <c r="D246" t="s">
        <v>276</v>
      </c>
      <c r="E246" t="s">
        <v>237</v>
      </c>
      <c r="F246" t="s">
        <v>238</v>
      </c>
      <c r="G246" t="s">
        <v>7</v>
      </c>
      <c r="H246" t="s">
        <v>217</v>
      </c>
      <c r="I246" t="s">
        <v>217</v>
      </c>
      <c r="J246" t="s">
        <v>7</v>
      </c>
      <c r="K246" t="str">
        <f t="shared" si="3"/>
        <v>01980074</v>
      </c>
      <c r="L246">
        <v>66001000</v>
      </c>
      <c r="M246">
        <v>5001000</v>
      </c>
    </row>
    <row r="247" spans="1:13">
      <c r="A247" t="s">
        <v>117</v>
      </c>
      <c r="B247" t="s">
        <v>251</v>
      </c>
      <c r="C247" t="s">
        <v>136</v>
      </c>
      <c r="D247" t="s">
        <v>276</v>
      </c>
      <c r="E247" t="s">
        <v>237</v>
      </c>
      <c r="F247" t="s">
        <v>238</v>
      </c>
      <c r="G247" t="s">
        <v>7</v>
      </c>
      <c r="H247" t="s">
        <v>217</v>
      </c>
      <c r="I247" t="s">
        <v>217</v>
      </c>
      <c r="J247" t="s">
        <v>7</v>
      </c>
      <c r="K247" t="str">
        <f t="shared" si="3"/>
        <v>04100074</v>
      </c>
      <c r="L247">
        <v>76892000</v>
      </c>
      <c r="M247">
        <v>5001000</v>
      </c>
    </row>
    <row r="248" spans="1:13">
      <c r="A248" t="s">
        <v>119</v>
      </c>
      <c r="B248" t="s">
        <v>274</v>
      </c>
      <c r="C248" t="s">
        <v>136</v>
      </c>
      <c r="D248" t="s">
        <v>276</v>
      </c>
      <c r="E248" t="s">
        <v>237</v>
      </c>
      <c r="F248" t="s">
        <v>238</v>
      </c>
      <c r="G248" t="s">
        <v>7</v>
      </c>
      <c r="H248" t="s">
        <v>217</v>
      </c>
      <c r="I248" t="s">
        <v>217</v>
      </c>
      <c r="J248" t="s">
        <v>7</v>
      </c>
      <c r="K248" t="str">
        <f t="shared" si="3"/>
        <v>01110074</v>
      </c>
      <c r="L248">
        <v>8433000</v>
      </c>
      <c r="M248">
        <v>5172000</v>
      </c>
    </row>
    <row r="249" spans="1:13">
      <c r="A249" t="s">
        <v>125</v>
      </c>
      <c r="B249" t="s">
        <v>277</v>
      </c>
      <c r="C249" t="s">
        <v>116</v>
      </c>
      <c r="D249" t="s">
        <v>235</v>
      </c>
      <c r="E249" t="s">
        <v>237</v>
      </c>
      <c r="F249" t="s">
        <v>238</v>
      </c>
      <c r="G249" t="s">
        <v>7</v>
      </c>
      <c r="H249" t="s">
        <v>217</v>
      </c>
      <c r="I249" t="s">
        <v>217</v>
      </c>
      <c r="J249" t="s">
        <v>7</v>
      </c>
      <c r="K249" t="str">
        <f t="shared" si="3"/>
        <v>04450021</v>
      </c>
      <c r="L249">
        <v>19142000</v>
      </c>
      <c r="M249">
        <v>11001000</v>
      </c>
    </row>
    <row r="250" spans="1:13">
      <c r="A250" t="s">
        <v>125</v>
      </c>
      <c r="B250" t="s">
        <v>277</v>
      </c>
      <c r="C250" t="s">
        <v>147</v>
      </c>
      <c r="D250" t="s">
        <v>236</v>
      </c>
      <c r="E250" t="s">
        <v>237</v>
      </c>
      <c r="F250" t="s">
        <v>238</v>
      </c>
      <c r="G250" t="s">
        <v>7</v>
      </c>
      <c r="H250" t="s">
        <v>217</v>
      </c>
      <c r="I250" t="s">
        <v>217</v>
      </c>
      <c r="J250" t="s">
        <v>7</v>
      </c>
      <c r="K250" t="str">
        <f t="shared" si="3"/>
        <v>04450022</v>
      </c>
      <c r="L250">
        <v>19142000</v>
      </c>
      <c r="M250">
        <v>11001000</v>
      </c>
    </row>
    <row r="251" spans="1:13">
      <c r="A251" t="s">
        <v>125</v>
      </c>
      <c r="B251" t="s">
        <v>277</v>
      </c>
      <c r="C251" t="s">
        <v>184</v>
      </c>
      <c r="D251" t="s">
        <v>239</v>
      </c>
      <c r="E251" t="s">
        <v>237</v>
      </c>
      <c r="F251" t="s">
        <v>238</v>
      </c>
      <c r="G251" t="s">
        <v>7</v>
      </c>
      <c r="H251" t="s">
        <v>217</v>
      </c>
      <c r="I251" t="s">
        <v>217</v>
      </c>
      <c r="J251" t="s">
        <v>7</v>
      </c>
      <c r="K251" t="str">
        <f t="shared" si="3"/>
        <v>04450024</v>
      </c>
      <c r="L251">
        <v>19142000</v>
      </c>
      <c r="M251">
        <v>11001000</v>
      </c>
    </row>
    <row r="252" spans="1:13">
      <c r="A252" t="s">
        <v>125</v>
      </c>
      <c r="B252" t="s">
        <v>277</v>
      </c>
      <c r="C252" t="s">
        <v>180</v>
      </c>
      <c r="D252" t="s">
        <v>240</v>
      </c>
      <c r="E252" t="s">
        <v>237</v>
      </c>
      <c r="F252" t="s">
        <v>238</v>
      </c>
      <c r="G252" t="s">
        <v>7</v>
      </c>
      <c r="H252" t="s">
        <v>217</v>
      </c>
      <c r="I252" t="s">
        <v>217</v>
      </c>
      <c r="J252" t="s">
        <v>7</v>
      </c>
      <c r="K252" t="str">
        <f t="shared" si="3"/>
        <v>04450025</v>
      </c>
      <c r="L252">
        <v>19142000</v>
      </c>
      <c r="M252">
        <v>11001000</v>
      </c>
    </row>
    <row r="253" spans="1:13">
      <c r="A253" t="s">
        <v>125</v>
      </c>
      <c r="B253" t="s">
        <v>277</v>
      </c>
      <c r="C253" t="s">
        <v>163</v>
      </c>
      <c r="D253" t="s">
        <v>275</v>
      </c>
      <c r="E253" t="s">
        <v>237</v>
      </c>
      <c r="F253" t="s">
        <v>238</v>
      </c>
      <c r="G253" t="s">
        <v>7</v>
      </c>
      <c r="H253" t="s">
        <v>217</v>
      </c>
      <c r="I253" t="s">
        <v>217</v>
      </c>
      <c r="J253" t="s">
        <v>7</v>
      </c>
      <c r="K253" t="str">
        <f t="shared" si="3"/>
        <v>04450032</v>
      </c>
      <c r="L253">
        <v>19142000</v>
      </c>
      <c r="M253">
        <v>11001000</v>
      </c>
    </row>
    <row r="254" spans="1:13">
      <c r="A254" t="s">
        <v>125</v>
      </c>
      <c r="B254" t="s">
        <v>277</v>
      </c>
      <c r="C254" t="s">
        <v>188</v>
      </c>
      <c r="D254" t="s">
        <v>259</v>
      </c>
      <c r="E254" t="s">
        <v>237</v>
      </c>
      <c r="F254" t="s">
        <v>238</v>
      </c>
      <c r="G254" t="s">
        <v>7</v>
      </c>
      <c r="H254" t="s">
        <v>217</v>
      </c>
      <c r="I254" t="s">
        <v>217</v>
      </c>
      <c r="J254" t="s">
        <v>7</v>
      </c>
      <c r="K254" t="str">
        <f t="shared" si="3"/>
        <v>04450033</v>
      </c>
      <c r="L254">
        <v>19142000</v>
      </c>
      <c r="M254">
        <v>11001000</v>
      </c>
    </row>
    <row r="255" spans="1:13">
      <c r="A255" t="s">
        <v>125</v>
      </c>
      <c r="B255" t="s">
        <v>277</v>
      </c>
      <c r="C255" t="s">
        <v>136</v>
      </c>
      <c r="D255" t="s">
        <v>276</v>
      </c>
      <c r="E255" t="s">
        <v>237</v>
      </c>
      <c r="F255" t="s">
        <v>238</v>
      </c>
      <c r="G255" t="s">
        <v>7</v>
      </c>
      <c r="H255" t="s">
        <v>217</v>
      </c>
      <c r="I255" t="s">
        <v>217</v>
      </c>
      <c r="J255" t="s">
        <v>7</v>
      </c>
      <c r="K255" t="str">
        <f t="shared" si="3"/>
        <v>04450074</v>
      </c>
      <c r="L255">
        <v>19142000</v>
      </c>
      <c r="M255">
        <v>5001000</v>
      </c>
    </row>
    <row r="256" spans="1:13">
      <c r="A256" t="s">
        <v>125</v>
      </c>
      <c r="B256" t="s">
        <v>277</v>
      </c>
      <c r="C256" t="s">
        <v>118</v>
      </c>
      <c r="D256" t="s">
        <v>112</v>
      </c>
      <c r="E256" t="s">
        <v>237</v>
      </c>
      <c r="F256" t="s">
        <v>238</v>
      </c>
      <c r="G256" t="s">
        <v>7</v>
      </c>
      <c r="H256" t="s">
        <v>217</v>
      </c>
      <c r="I256" t="s">
        <v>217</v>
      </c>
      <c r="J256" t="s">
        <v>7</v>
      </c>
      <c r="K256" t="str">
        <f t="shared" si="3"/>
        <v>04450079</v>
      </c>
      <c r="L256">
        <v>19142000</v>
      </c>
      <c r="M256">
        <v>5001000</v>
      </c>
    </row>
    <row r="257" spans="1:13">
      <c r="A257" t="s">
        <v>125</v>
      </c>
      <c r="B257" t="s">
        <v>277</v>
      </c>
      <c r="C257" t="s">
        <v>185</v>
      </c>
      <c r="D257" t="s">
        <v>257</v>
      </c>
      <c r="E257" t="s">
        <v>237</v>
      </c>
      <c r="F257" t="s">
        <v>238</v>
      </c>
      <c r="G257" t="s">
        <v>7</v>
      </c>
      <c r="H257" t="s">
        <v>217</v>
      </c>
      <c r="I257" t="s">
        <v>217</v>
      </c>
      <c r="J257" t="s">
        <v>7</v>
      </c>
      <c r="K257" t="str">
        <f t="shared" si="3"/>
        <v>04450080</v>
      </c>
      <c r="L257">
        <v>19142000</v>
      </c>
      <c r="M257">
        <v>5001000</v>
      </c>
    </row>
    <row r="258" spans="1:13">
      <c r="A258" t="s">
        <v>125</v>
      </c>
      <c r="B258" t="s">
        <v>277</v>
      </c>
      <c r="C258" t="s">
        <v>133</v>
      </c>
      <c r="D258" t="s">
        <v>241</v>
      </c>
      <c r="E258" t="s">
        <v>237</v>
      </c>
      <c r="F258" t="s">
        <v>238</v>
      </c>
      <c r="G258" t="s">
        <v>7</v>
      </c>
      <c r="H258" t="s">
        <v>217</v>
      </c>
      <c r="I258" t="s">
        <v>217</v>
      </c>
      <c r="J258" t="s">
        <v>7</v>
      </c>
      <c r="K258" t="str">
        <f t="shared" si="3"/>
        <v>04450090</v>
      </c>
      <c r="L258">
        <v>19142000</v>
      </c>
      <c r="M258">
        <v>5001000</v>
      </c>
    </row>
    <row r="259" spans="1:13">
      <c r="A259" t="s">
        <v>125</v>
      </c>
      <c r="B259" t="s">
        <v>277</v>
      </c>
      <c r="C259" t="s">
        <v>124</v>
      </c>
      <c r="D259" t="s">
        <v>242</v>
      </c>
      <c r="E259" t="s">
        <v>237</v>
      </c>
      <c r="F259" t="s">
        <v>238</v>
      </c>
      <c r="G259" t="s">
        <v>7</v>
      </c>
      <c r="H259" t="s">
        <v>217</v>
      </c>
      <c r="I259" t="s">
        <v>217</v>
      </c>
      <c r="J259" t="s">
        <v>7</v>
      </c>
      <c r="K259" t="str">
        <f t="shared" ref="K259:K322" si="4">A259&amp;C259</f>
        <v>04450092</v>
      </c>
      <c r="L259">
        <v>19142000</v>
      </c>
      <c r="M259">
        <v>5001000</v>
      </c>
    </row>
    <row r="260" spans="1:13">
      <c r="A260" t="s">
        <v>125</v>
      </c>
      <c r="B260" t="s">
        <v>277</v>
      </c>
      <c r="C260" t="s">
        <v>119</v>
      </c>
      <c r="D260" t="s">
        <v>274</v>
      </c>
      <c r="E260" t="s">
        <v>237</v>
      </c>
      <c r="F260" t="s">
        <v>238</v>
      </c>
      <c r="G260" t="s">
        <v>7</v>
      </c>
      <c r="H260" t="s">
        <v>217</v>
      </c>
      <c r="I260" t="s">
        <v>217</v>
      </c>
      <c r="J260" t="s">
        <v>7</v>
      </c>
      <c r="K260" t="str">
        <f t="shared" si="4"/>
        <v>04450111</v>
      </c>
      <c r="L260">
        <v>19142000</v>
      </c>
      <c r="M260">
        <v>8433000</v>
      </c>
    </row>
    <row r="261" spans="1:13">
      <c r="A261" t="s">
        <v>125</v>
      </c>
      <c r="B261" t="s">
        <v>277</v>
      </c>
      <c r="C261" t="s">
        <v>140</v>
      </c>
      <c r="D261" t="s">
        <v>243</v>
      </c>
      <c r="E261" t="s">
        <v>237</v>
      </c>
      <c r="F261" t="s">
        <v>238</v>
      </c>
      <c r="G261" t="s">
        <v>7</v>
      </c>
      <c r="H261" t="s">
        <v>217</v>
      </c>
      <c r="I261" t="s">
        <v>217</v>
      </c>
      <c r="J261" t="s">
        <v>7</v>
      </c>
      <c r="K261" t="str">
        <f t="shared" si="4"/>
        <v>04450113</v>
      </c>
      <c r="L261">
        <v>19142000</v>
      </c>
      <c r="M261">
        <v>13001000</v>
      </c>
    </row>
    <row r="262" spans="1:13">
      <c r="A262" t="s">
        <v>125</v>
      </c>
      <c r="B262" t="s">
        <v>277</v>
      </c>
      <c r="C262" t="s">
        <v>156</v>
      </c>
      <c r="D262" t="s">
        <v>244</v>
      </c>
      <c r="E262" t="s">
        <v>237</v>
      </c>
      <c r="F262" t="s">
        <v>238</v>
      </c>
      <c r="G262" t="s">
        <v>7</v>
      </c>
      <c r="H262" t="s">
        <v>217</v>
      </c>
      <c r="I262" t="s">
        <v>217</v>
      </c>
      <c r="J262" t="s">
        <v>7</v>
      </c>
      <c r="K262" t="str">
        <f t="shared" si="4"/>
        <v>04450118</v>
      </c>
      <c r="L262">
        <v>19142000</v>
      </c>
      <c r="M262">
        <v>47001000</v>
      </c>
    </row>
    <row r="263" spans="1:13">
      <c r="A263" t="s">
        <v>125</v>
      </c>
      <c r="B263" t="s">
        <v>277</v>
      </c>
      <c r="C263" t="s">
        <v>181</v>
      </c>
      <c r="D263" t="s">
        <v>260</v>
      </c>
      <c r="E263" t="s">
        <v>237</v>
      </c>
      <c r="F263" t="s">
        <v>238</v>
      </c>
      <c r="G263" t="s">
        <v>7</v>
      </c>
      <c r="H263" t="s">
        <v>217</v>
      </c>
      <c r="I263" t="s">
        <v>217</v>
      </c>
      <c r="J263" t="s">
        <v>7</v>
      </c>
      <c r="K263" t="str">
        <f t="shared" si="4"/>
        <v>04450119</v>
      </c>
      <c r="L263">
        <v>19142000</v>
      </c>
      <c r="M263">
        <v>47001000</v>
      </c>
    </row>
    <row r="264" spans="1:13">
      <c r="A264" t="s">
        <v>125</v>
      </c>
      <c r="B264" t="s">
        <v>277</v>
      </c>
      <c r="C264" t="s">
        <v>162</v>
      </c>
      <c r="D264" t="s">
        <v>245</v>
      </c>
      <c r="E264" t="s">
        <v>237</v>
      </c>
      <c r="F264" t="s">
        <v>238</v>
      </c>
      <c r="G264" t="s">
        <v>7</v>
      </c>
      <c r="H264" t="s">
        <v>217</v>
      </c>
      <c r="I264" t="s">
        <v>217</v>
      </c>
      <c r="J264" t="s">
        <v>7</v>
      </c>
      <c r="K264" t="str">
        <f t="shared" si="4"/>
        <v>04450126</v>
      </c>
      <c r="L264">
        <v>19142000</v>
      </c>
      <c r="M264">
        <v>19001000</v>
      </c>
    </row>
    <row r="265" spans="1:13">
      <c r="A265" t="s">
        <v>125</v>
      </c>
      <c r="B265" t="s">
        <v>277</v>
      </c>
      <c r="C265" t="s">
        <v>166</v>
      </c>
      <c r="D265" t="s">
        <v>246</v>
      </c>
      <c r="E265" t="s">
        <v>237</v>
      </c>
      <c r="F265" t="s">
        <v>238</v>
      </c>
      <c r="G265" t="s">
        <v>7</v>
      </c>
      <c r="H265" t="s">
        <v>217</v>
      </c>
      <c r="I265" t="s">
        <v>217</v>
      </c>
      <c r="J265" t="s">
        <v>7</v>
      </c>
      <c r="K265" t="str">
        <f t="shared" si="4"/>
        <v>04450131</v>
      </c>
      <c r="L265">
        <v>19142000</v>
      </c>
      <c r="M265">
        <v>76109000</v>
      </c>
    </row>
    <row r="266" spans="1:13">
      <c r="A266" t="s">
        <v>125</v>
      </c>
      <c r="B266" t="s">
        <v>277</v>
      </c>
      <c r="C266" t="s">
        <v>130</v>
      </c>
      <c r="D266" t="s">
        <v>247</v>
      </c>
      <c r="E266" t="s">
        <v>237</v>
      </c>
      <c r="F266" t="s">
        <v>238</v>
      </c>
      <c r="G266" t="s">
        <v>7</v>
      </c>
      <c r="H266" t="s">
        <v>217</v>
      </c>
      <c r="I266" t="s">
        <v>217</v>
      </c>
      <c r="J266" t="s">
        <v>7</v>
      </c>
      <c r="K266" t="str">
        <f t="shared" si="4"/>
        <v>04450134</v>
      </c>
      <c r="L266">
        <v>19142000</v>
      </c>
      <c r="M266">
        <v>66001000</v>
      </c>
    </row>
    <row r="267" spans="1:13">
      <c r="A267" t="s">
        <v>125</v>
      </c>
      <c r="B267" t="s">
        <v>277</v>
      </c>
      <c r="C267" t="s">
        <v>155</v>
      </c>
      <c r="D267" t="s">
        <v>248</v>
      </c>
      <c r="E267" t="s">
        <v>237</v>
      </c>
      <c r="F267" t="s">
        <v>238</v>
      </c>
      <c r="G267" t="s">
        <v>7</v>
      </c>
      <c r="H267" t="s">
        <v>217</v>
      </c>
      <c r="I267" t="s">
        <v>217</v>
      </c>
      <c r="J267" t="s">
        <v>7</v>
      </c>
      <c r="K267" t="str">
        <f t="shared" si="4"/>
        <v>04450142</v>
      </c>
      <c r="L267">
        <v>19142000</v>
      </c>
      <c r="M267">
        <v>66001000</v>
      </c>
    </row>
    <row r="268" spans="1:13">
      <c r="A268" t="s">
        <v>125</v>
      </c>
      <c r="B268" t="s">
        <v>277</v>
      </c>
      <c r="C268" t="s">
        <v>153</v>
      </c>
      <c r="D268" t="s">
        <v>249</v>
      </c>
      <c r="E268" t="s">
        <v>237</v>
      </c>
      <c r="F268" t="s">
        <v>238</v>
      </c>
      <c r="G268" t="s">
        <v>7</v>
      </c>
      <c r="H268" t="s">
        <v>217</v>
      </c>
      <c r="I268" t="s">
        <v>217</v>
      </c>
      <c r="J268" t="s">
        <v>7</v>
      </c>
      <c r="K268" t="str">
        <f t="shared" si="4"/>
        <v>04450145</v>
      </c>
      <c r="L268">
        <v>19142000</v>
      </c>
      <c r="M268">
        <v>17001000</v>
      </c>
    </row>
    <row r="269" spans="1:13">
      <c r="A269" t="s">
        <v>125</v>
      </c>
      <c r="B269" t="s">
        <v>277</v>
      </c>
      <c r="C269" t="s">
        <v>176</v>
      </c>
      <c r="D269" t="s">
        <v>261</v>
      </c>
      <c r="E269" t="s">
        <v>237</v>
      </c>
      <c r="F269" t="s">
        <v>238</v>
      </c>
      <c r="G269" t="s">
        <v>7</v>
      </c>
      <c r="H269" t="s">
        <v>217</v>
      </c>
      <c r="I269" t="s">
        <v>217</v>
      </c>
      <c r="J269" t="s">
        <v>7</v>
      </c>
      <c r="K269" t="str">
        <f t="shared" si="4"/>
        <v>04450146</v>
      </c>
      <c r="L269">
        <v>19142000</v>
      </c>
      <c r="M269">
        <v>17001000</v>
      </c>
    </row>
    <row r="270" spans="1:13">
      <c r="A270" t="s">
        <v>125</v>
      </c>
      <c r="B270" t="s">
        <v>277</v>
      </c>
      <c r="C270" t="s">
        <v>141</v>
      </c>
      <c r="D270" t="s">
        <v>250</v>
      </c>
      <c r="E270" t="s">
        <v>237</v>
      </c>
      <c r="F270" t="s">
        <v>238</v>
      </c>
      <c r="G270" t="s">
        <v>7</v>
      </c>
      <c r="H270" t="s">
        <v>217</v>
      </c>
      <c r="I270" t="s">
        <v>217</v>
      </c>
      <c r="J270" t="s">
        <v>7</v>
      </c>
      <c r="K270" t="str">
        <f t="shared" si="4"/>
        <v>04450198</v>
      </c>
      <c r="L270">
        <v>19142000</v>
      </c>
      <c r="M270">
        <v>66001000</v>
      </c>
    </row>
    <row r="271" spans="1:13">
      <c r="A271" t="s">
        <v>125</v>
      </c>
      <c r="B271" t="s">
        <v>277</v>
      </c>
      <c r="C271" t="s">
        <v>172</v>
      </c>
      <c r="D271" t="s">
        <v>258</v>
      </c>
      <c r="E271" t="s">
        <v>237</v>
      </c>
      <c r="F271" t="s">
        <v>238</v>
      </c>
      <c r="G271" t="s">
        <v>7</v>
      </c>
      <c r="H271" t="s">
        <v>217</v>
      </c>
      <c r="I271" t="s">
        <v>217</v>
      </c>
      <c r="J271" t="s">
        <v>7</v>
      </c>
      <c r="K271" t="str">
        <f t="shared" si="4"/>
        <v>04450230</v>
      </c>
      <c r="L271">
        <v>76001000</v>
      </c>
      <c r="M271">
        <v>44001000</v>
      </c>
    </row>
    <row r="272" spans="1:13">
      <c r="A272" t="s">
        <v>125</v>
      </c>
      <c r="B272" t="s">
        <v>277</v>
      </c>
      <c r="C272" t="s">
        <v>186</v>
      </c>
      <c r="D272" t="s">
        <v>262</v>
      </c>
      <c r="E272" t="s">
        <v>237</v>
      </c>
      <c r="F272" t="s">
        <v>238</v>
      </c>
      <c r="G272" t="s">
        <v>7</v>
      </c>
      <c r="H272" t="s">
        <v>217</v>
      </c>
      <c r="I272" t="s">
        <v>217</v>
      </c>
      <c r="J272" t="s">
        <v>7</v>
      </c>
      <c r="K272" t="str">
        <f t="shared" si="4"/>
        <v>04450239</v>
      </c>
      <c r="L272">
        <v>19142000</v>
      </c>
      <c r="M272">
        <v>47001000</v>
      </c>
    </row>
    <row r="273" spans="1:13">
      <c r="A273" t="s">
        <v>125</v>
      </c>
      <c r="B273" t="s">
        <v>277</v>
      </c>
      <c r="C273" t="s">
        <v>123</v>
      </c>
      <c r="D273" t="s">
        <v>263</v>
      </c>
      <c r="E273" t="s">
        <v>237</v>
      </c>
      <c r="F273" t="s">
        <v>238</v>
      </c>
      <c r="G273" t="s">
        <v>7</v>
      </c>
      <c r="H273" t="s">
        <v>217</v>
      </c>
      <c r="I273" t="s">
        <v>217</v>
      </c>
      <c r="J273" t="s">
        <v>7</v>
      </c>
      <c r="K273" t="str">
        <f t="shared" si="4"/>
        <v>04450292</v>
      </c>
      <c r="L273">
        <v>19142000</v>
      </c>
      <c r="M273">
        <v>5360000</v>
      </c>
    </row>
    <row r="274" spans="1:13">
      <c r="A274" t="s">
        <v>125</v>
      </c>
      <c r="B274" t="s">
        <v>277</v>
      </c>
      <c r="C274" t="s">
        <v>145</v>
      </c>
      <c r="D274" t="s">
        <v>254</v>
      </c>
      <c r="E274" t="s">
        <v>237</v>
      </c>
      <c r="F274" t="s">
        <v>238</v>
      </c>
      <c r="G274" t="s">
        <v>7</v>
      </c>
      <c r="H274" t="s">
        <v>217</v>
      </c>
      <c r="I274" t="s">
        <v>217</v>
      </c>
      <c r="J274" t="s">
        <v>7</v>
      </c>
      <c r="K274" t="str">
        <f t="shared" si="4"/>
        <v>04450358</v>
      </c>
      <c r="L274">
        <v>19142000</v>
      </c>
      <c r="M274">
        <v>76364000</v>
      </c>
    </row>
    <row r="275" spans="1:13">
      <c r="A275" t="s">
        <v>125</v>
      </c>
      <c r="B275" t="s">
        <v>277</v>
      </c>
      <c r="C275" t="s">
        <v>117</v>
      </c>
      <c r="D275" t="s">
        <v>251</v>
      </c>
      <c r="E275" t="s">
        <v>237</v>
      </c>
      <c r="F275" t="s">
        <v>238</v>
      </c>
      <c r="G275" t="s">
        <v>7</v>
      </c>
      <c r="H275" t="s">
        <v>217</v>
      </c>
      <c r="I275" t="s">
        <v>217</v>
      </c>
      <c r="J275" t="s">
        <v>7</v>
      </c>
      <c r="K275" t="str">
        <f t="shared" si="4"/>
        <v>04450410</v>
      </c>
      <c r="L275">
        <v>19142000</v>
      </c>
      <c r="M275">
        <v>76892000</v>
      </c>
    </row>
    <row r="276" spans="1:13">
      <c r="A276" t="s">
        <v>125</v>
      </c>
      <c r="B276" t="s">
        <v>277</v>
      </c>
      <c r="C276" t="s">
        <v>152</v>
      </c>
      <c r="D276" t="s">
        <v>252</v>
      </c>
      <c r="E276" t="s">
        <v>237</v>
      </c>
      <c r="F276" t="s">
        <v>238</v>
      </c>
      <c r="G276" t="s">
        <v>7</v>
      </c>
      <c r="H276" t="s">
        <v>217</v>
      </c>
      <c r="I276" t="s">
        <v>217</v>
      </c>
      <c r="J276" t="s">
        <v>7</v>
      </c>
      <c r="K276" t="str">
        <f t="shared" si="4"/>
        <v>04450411</v>
      </c>
      <c r="L276">
        <v>19142000</v>
      </c>
      <c r="M276">
        <v>76111000</v>
      </c>
    </row>
    <row r="277" spans="1:13">
      <c r="A277" t="s">
        <v>125</v>
      </c>
      <c r="B277" t="s">
        <v>277</v>
      </c>
      <c r="C277" t="s">
        <v>174</v>
      </c>
      <c r="D277" t="s">
        <v>253</v>
      </c>
      <c r="E277" t="s">
        <v>237</v>
      </c>
      <c r="F277" t="s">
        <v>238</v>
      </c>
      <c r="G277" t="s">
        <v>7</v>
      </c>
      <c r="H277" t="s">
        <v>217</v>
      </c>
      <c r="I277" t="s">
        <v>217</v>
      </c>
      <c r="J277" t="s">
        <v>7</v>
      </c>
      <c r="K277" t="str">
        <f t="shared" si="4"/>
        <v>04450412</v>
      </c>
      <c r="L277">
        <v>19142000</v>
      </c>
      <c r="M277">
        <v>76001000</v>
      </c>
    </row>
    <row r="278" spans="1:13">
      <c r="A278" t="s">
        <v>116</v>
      </c>
      <c r="B278" t="s">
        <v>235</v>
      </c>
      <c r="C278" t="s">
        <v>125</v>
      </c>
      <c r="D278" t="s">
        <v>277</v>
      </c>
      <c r="E278" t="s">
        <v>237</v>
      </c>
      <c r="F278" t="s">
        <v>238</v>
      </c>
      <c r="G278" t="s">
        <v>7</v>
      </c>
      <c r="H278" t="s">
        <v>217</v>
      </c>
      <c r="I278" t="s">
        <v>217</v>
      </c>
      <c r="J278" t="s">
        <v>7</v>
      </c>
      <c r="K278" t="str">
        <f t="shared" si="4"/>
        <v>00210445</v>
      </c>
      <c r="L278">
        <v>11001000</v>
      </c>
      <c r="M278">
        <v>19142000</v>
      </c>
    </row>
    <row r="279" spans="1:13">
      <c r="A279" t="s">
        <v>118</v>
      </c>
      <c r="B279" t="s">
        <v>112</v>
      </c>
      <c r="C279" t="s">
        <v>125</v>
      </c>
      <c r="D279" t="s">
        <v>277</v>
      </c>
      <c r="E279" t="s">
        <v>237</v>
      </c>
      <c r="F279" t="s">
        <v>238</v>
      </c>
      <c r="G279" t="s">
        <v>7</v>
      </c>
      <c r="H279" t="s">
        <v>217</v>
      </c>
      <c r="I279" t="s">
        <v>217</v>
      </c>
      <c r="J279" t="s">
        <v>7</v>
      </c>
      <c r="K279" t="str">
        <f t="shared" si="4"/>
        <v>00790445</v>
      </c>
      <c r="L279">
        <v>5088000</v>
      </c>
      <c r="M279">
        <v>76001000</v>
      </c>
    </row>
    <row r="280" spans="1:13">
      <c r="A280" t="s">
        <v>140</v>
      </c>
      <c r="B280" t="s">
        <v>243</v>
      </c>
      <c r="C280" t="s">
        <v>125</v>
      </c>
      <c r="D280" t="s">
        <v>277</v>
      </c>
      <c r="E280" t="s">
        <v>237</v>
      </c>
      <c r="F280" t="s">
        <v>238</v>
      </c>
      <c r="G280" t="s">
        <v>7</v>
      </c>
      <c r="H280" t="s">
        <v>217</v>
      </c>
      <c r="I280" t="s">
        <v>217</v>
      </c>
      <c r="J280" t="s">
        <v>7</v>
      </c>
      <c r="K280" t="str">
        <f t="shared" si="4"/>
        <v>01130445</v>
      </c>
      <c r="L280">
        <v>13001000</v>
      </c>
      <c r="M280">
        <v>19142000</v>
      </c>
    </row>
    <row r="281" spans="1:13">
      <c r="A281" t="s">
        <v>162</v>
      </c>
      <c r="B281" t="s">
        <v>245</v>
      </c>
      <c r="C281" t="s">
        <v>125</v>
      </c>
      <c r="D281" t="s">
        <v>277</v>
      </c>
      <c r="E281" t="s">
        <v>237</v>
      </c>
      <c r="F281" t="s">
        <v>238</v>
      </c>
      <c r="G281" t="s">
        <v>7</v>
      </c>
      <c r="H281" t="s">
        <v>217</v>
      </c>
      <c r="I281" t="s">
        <v>217</v>
      </c>
      <c r="J281" t="s">
        <v>7</v>
      </c>
      <c r="K281" t="str">
        <f t="shared" si="4"/>
        <v>01260445</v>
      </c>
      <c r="L281">
        <v>19001000</v>
      </c>
      <c r="M281">
        <v>19142000</v>
      </c>
    </row>
    <row r="282" spans="1:13">
      <c r="A282" t="s">
        <v>166</v>
      </c>
      <c r="B282" t="s">
        <v>246</v>
      </c>
      <c r="C282" t="s">
        <v>125</v>
      </c>
      <c r="D282" t="s">
        <v>277</v>
      </c>
      <c r="E282" t="s">
        <v>237</v>
      </c>
      <c r="F282" t="s">
        <v>238</v>
      </c>
      <c r="G282" t="s">
        <v>7</v>
      </c>
      <c r="H282" t="s">
        <v>217</v>
      </c>
      <c r="I282" t="s">
        <v>217</v>
      </c>
      <c r="J282" t="s">
        <v>7</v>
      </c>
      <c r="K282" t="str">
        <f t="shared" si="4"/>
        <v>01310445</v>
      </c>
      <c r="L282">
        <v>76109000</v>
      </c>
      <c r="M282">
        <v>19142000</v>
      </c>
    </row>
    <row r="283" spans="1:13">
      <c r="A283" t="s">
        <v>130</v>
      </c>
      <c r="B283" t="s">
        <v>247</v>
      </c>
      <c r="C283" t="s">
        <v>125</v>
      </c>
      <c r="D283" t="s">
        <v>277</v>
      </c>
      <c r="E283" t="s">
        <v>237</v>
      </c>
      <c r="F283" t="s">
        <v>238</v>
      </c>
      <c r="G283" t="s">
        <v>7</v>
      </c>
      <c r="H283" t="s">
        <v>217</v>
      </c>
      <c r="I283" t="s">
        <v>217</v>
      </c>
      <c r="J283" t="s">
        <v>7</v>
      </c>
      <c r="K283" t="str">
        <f t="shared" si="4"/>
        <v>01340445</v>
      </c>
      <c r="L283">
        <v>66170000</v>
      </c>
      <c r="M283">
        <v>76001000</v>
      </c>
    </row>
    <row r="284" spans="1:13">
      <c r="A284" t="s">
        <v>155</v>
      </c>
      <c r="B284" t="s">
        <v>248</v>
      </c>
      <c r="C284" t="s">
        <v>125</v>
      </c>
      <c r="D284" t="s">
        <v>277</v>
      </c>
      <c r="E284" t="s">
        <v>237</v>
      </c>
      <c r="F284" t="s">
        <v>238</v>
      </c>
      <c r="G284" t="s">
        <v>7</v>
      </c>
      <c r="H284" t="s">
        <v>217</v>
      </c>
      <c r="I284" t="s">
        <v>217</v>
      </c>
      <c r="J284" t="s">
        <v>7</v>
      </c>
      <c r="K284" t="str">
        <f t="shared" si="4"/>
        <v>01420445</v>
      </c>
      <c r="L284">
        <v>63001000</v>
      </c>
      <c r="M284">
        <v>76001000</v>
      </c>
    </row>
    <row r="285" spans="1:13">
      <c r="A285" t="s">
        <v>153</v>
      </c>
      <c r="B285" t="s">
        <v>249</v>
      </c>
      <c r="C285" t="s">
        <v>125</v>
      </c>
      <c r="D285" t="s">
        <v>277</v>
      </c>
      <c r="E285" t="s">
        <v>237</v>
      </c>
      <c r="F285" t="s">
        <v>238</v>
      </c>
      <c r="G285" t="s">
        <v>7</v>
      </c>
      <c r="H285" t="s">
        <v>217</v>
      </c>
      <c r="I285" t="s">
        <v>217</v>
      </c>
      <c r="J285" t="s">
        <v>7</v>
      </c>
      <c r="K285" t="str">
        <f t="shared" si="4"/>
        <v>01450445</v>
      </c>
      <c r="L285">
        <v>17001000</v>
      </c>
      <c r="M285">
        <v>19142000</v>
      </c>
    </row>
    <row r="286" spans="1:13">
      <c r="A286" t="s">
        <v>141</v>
      </c>
      <c r="B286" t="s">
        <v>250</v>
      </c>
      <c r="C286" t="s">
        <v>125</v>
      </c>
      <c r="D286" t="s">
        <v>277</v>
      </c>
      <c r="E286" t="s">
        <v>237</v>
      </c>
      <c r="F286" t="s">
        <v>238</v>
      </c>
      <c r="G286" t="s">
        <v>7</v>
      </c>
      <c r="H286" t="s">
        <v>217</v>
      </c>
      <c r="I286" t="s">
        <v>217</v>
      </c>
      <c r="J286" t="s">
        <v>7</v>
      </c>
      <c r="K286" t="str">
        <f t="shared" si="4"/>
        <v>01980445</v>
      </c>
      <c r="L286">
        <v>66001000</v>
      </c>
      <c r="M286">
        <v>19142000</v>
      </c>
    </row>
    <row r="287" spans="1:13">
      <c r="A287" t="s">
        <v>186</v>
      </c>
      <c r="B287" t="s">
        <v>262</v>
      </c>
      <c r="C287" t="s">
        <v>125</v>
      </c>
      <c r="D287" t="s">
        <v>277</v>
      </c>
      <c r="E287" t="s">
        <v>237</v>
      </c>
      <c r="F287" t="s">
        <v>238</v>
      </c>
      <c r="G287" t="s">
        <v>7</v>
      </c>
      <c r="H287" t="s">
        <v>217</v>
      </c>
      <c r="I287" t="s">
        <v>217</v>
      </c>
      <c r="J287" t="s">
        <v>7</v>
      </c>
      <c r="K287" t="str">
        <f t="shared" si="4"/>
        <v>02390445</v>
      </c>
      <c r="L287">
        <v>44001000</v>
      </c>
      <c r="M287">
        <v>76001000</v>
      </c>
    </row>
    <row r="288" spans="1:13">
      <c r="A288" t="s">
        <v>117</v>
      </c>
      <c r="B288" t="s">
        <v>251</v>
      </c>
      <c r="C288" t="s">
        <v>125</v>
      </c>
      <c r="D288" t="s">
        <v>277</v>
      </c>
      <c r="E288" t="s">
        <v>237</v>
      </c>
      <c r="F288" t="s">
        <v>238</v>
      </c>
      <c r="G288" t="s">
        <v>7</v>
      </c>
      <c r="H288" t="s">
        <v>217</v>
      </c>
      <c r="I288" t="s">
        <v>217</v>
      </c>
      <c r="J288" t="s">
        <v>7</v>
      </c>
      <c r="K288" t="str">
        <f t="shared" si="4"/>
        <v>04100445</v>
      </c>
      <c r="L288">
        <v>76892000</v>
      </c>
      <c r="M288">
        <v>19142000</v>
      </c>
    </row>
    <row r="289" spans="1:13">
      <c r="A289" t="s">
        <v>152</v>
      </c>
      <c r="B289" t="s">
        <v>252</v>
      </c>
      <c r="C289" t="s">
        <v>125</v>
      </c>
      <c r="D289" t="s">
        <v>277</v>
      </c>
      <c r="E289" t="s">
        <v>237</v>
      </c>
      <c r="F289" t="s">
        <v>238</v>
      </c>
      <c r="G289" t="s">
        <v>7</v>
      </c>
      <c r="H289" t="s">
        <v>217</v>
      </c>
      <c r="I289" t="s">
        <v>217</v>
      </c>
      <c r="J289" t="s">
        <v>7</v>
      </c>
      <c r="K289" t="str">
        <f t="shared" si="4"/>
        <v>04110445</v>
      </c>
      <c r="L289">
        <v>76111000</v>
      </c>
      <c r="M289">
        <v>19142000</v>
      </c>
    </row>
    <row r="290" spans="1:13">
      <c r="A290" t="s">
        <v>131</v>
      </c>
      <c r="B290" t="s">
        <v>278</v>
      </c>
      <c r="C290" t="s">
        <v>116</v>
      </c>
      <c r="D290" t="s">
        <v>235</v>
      </c>
      <c r="E290" t="s">
        <v>237</v>
      </c>
      <c r="F290" t="s">
        <v>238</v>
      </c>
      <c r="G290" t="s">
        <v>7</v>
      </c>
      <c r="H290" t="s">
        <v>217</v>
      </c>
      <c r="I290" t="s">
        <v>217</v>
      </c>
      <c r="J290" t="s">
        <v>7</v>
      </c>
      <c r="K290" t="str">
        <f t="shared" si="4"/>
        <v>00350021</v>
      </c>
      <c r="L290">
        <v>25799000</v>
      </c>
      <c r="M290">
        <v>11001000</v>
      </c>
    </row>
    <row r="291" spans="1:13">
      <c r="A291" t="s">
        <v>131</v>
      </c>
      <c r="B291" t="s">
        <v>278</v>
      </c>
      <c r="C291" t="s">
        <v>147</v>
      </c>
      <c r="D291" t="s">
        <v>236</v>
      </c>
      <c r="E291" t="s">
        <v>237</v>
      </c>
      <c r="F291" t="s">
        <v>238</v>
      </c>
      <c r="G291" t="s">
        <v>7</v>
      </c>
      <c r="H291" t="s">
        <v>217</v>
      </c>
      <c r="I291" t="s">
        <v>217</v>
      </c>
      <c r="J291" t="s">
        <v>7</v>
      </c>
      <c r="K291" t="str">
        <f t="shared" si="4"/>
        <v>00350022</v>
      </c>
      <c r="L291">
        <v>25799000</v>
      </c>
      <c r="M291">
        <v>25430000</v>
      </c>
    </row>
    <row r="292" spans="1:13">
      <c r="A292" t="s">
        <v>131</v>
      </c>
      <c r="B292" t="s">
        <v>278</v>
      </c>
      <c r="C292" t="s">
        <v>184</v>
      </c>
      <c r="D292" t="s">
        <v>239</v>
      </c>
      <c r="E292" t="s">
        <v>237</v>
      </c>
      <c r="F292" t="s">
        <v>238</v>
      </c>
      <c r="G292" t="s">
        <v>7</v>
      </c>
      <c r="H292" t="s">
        <v>217</v>
      </c>
      <c r="I292" t="s">
        <v>217</v>
      </c>
      <c r="J292" t="s">
        <v>7</v>
      </c>
      <c r="K292" t="str">
        <f t="shared" si="4"/>
        <v>00350024</v>
      </c>
      <c r="L292">
        <v>25799000</v>
      </c>
      <c r="M292">
        <v>11001000</v>
      </c>
    </row>
    <row r="293" spans="1:13">
      <c r="A293" t="s">
        <v>131</v>
      </c>
      <c r="B293" t="s">
        <v>278</v>
      </c>
      <c r="C293" t="s">
        <v>180</v>
      </c>
      <c r="D293" t="s">
        <v>240</v>
      </c>
      <c r="E293" t="s">
        <v>237</v>
      </c>
      <c r="F293" t="s">
        <v>238</v>
      </c>
      <c r="G293" t="s">
        <v>7</v>
      </c>
      <c r="H293" t="s">
        <v>217</v>
      </c>
      <c r="I293" t="s">
        <v>217</v>
      </c>
      <c r="J293" t="s">
        <v>7</v>
      </c>
      <c r="K293" t="str">
        <f t="shared" si="4"/>
        <v>00350025</v>
      </c>
      <c r="L293">
        <v>25799000</v>
      </c>
      <c r="M293">
        <v>11001000</v>
      </c>
    </row>
    <row r="294" spans="1:13">
      <c r="A294" t="s">
        <v>131</v>
      </c>
      <c r="B294" t="s">
        <v>278</v>
      </c>
      <c r="C294" t="s">
        <v>163</v>
      </c>
      <c r="D294" t="s">
        <v>275</v>
      </c>
      <c r="E294" t="s">
        <v>237</v>
      </c>
      <c r="F294" t="s">
        <v>238</v>
      </c>
      <c r="G294" t="s">
        <v>7</v>
      </c>
      <c r="H294" t="s">
        <v>217</v>
      </c>
      <c r="I294" t="s">
        <v>217</v>
      </c>
      <c r="J294" t="s">
        <v>7</v>
      </c>
      <c r="K294" t="str">
        <f t="shared" si="4"/>
        <v>00350032</v>
      </c>
      <c r="L294">
        <v>25799000</v>
      </c>
      <c r="M294">
        <v>25899000</v>
      </c>
    </row>
    <row r="295" spans="1:13">
      <c r="A295" t="s">
        <v>131</v>
      </c>
      <c r="B295" t="s">
        <v>278</v>
      </c>
      <c r="C295" t="s">
        <v>136</v>
      </c>
      <c r="D295" t="s">
        <v>276</v>
      </c>
      <c r="E295" t="s">
        <v>237</v>
      </c>
      <c r="F295" t="s">
        <v>238</v>
      </c>
      <c r="G295" t="s">
        <v>7</v>
      </c>
      <c r="H295" t="s">
        <v>217</v>
      </c>
      <c r="I295" t="s">
        <v>217</v>
      </c>
      <c r="J295" t="s">
        <v>7</v>
      </c>
      <c r="K295" t="str">
        <f t="shared" si="4"/>
        <v>00350074</v>
      </c>
      <c r="L295">
        <v>25799000</v>
      </c>
      <c r="M295">
        <v>5001000</v>
      </c>
    </row>
    <row r="296" spans="1:13">
      <c r="A296" t="s">
        <v>131</v>
      </c>
      <c r="B296" t="s">
        <v>278</v>
      </c>
      <c r="C296" t="s">
        <v>118</v>
      </c>
      <c r="D296" t="s">
        <v>112</v>
      </c>
      <c r="E296" t="s">
        <v>237</v>
      </c>
      <c r="F296" t="s">
        <v>238</v>
      </c>
      <c r="G296" t="s">
        <v>7</v>
      </c>
      <c r="H296" t="s">
        <v>217</v>
      </c>
      <c r="I296" t="s">
        <v>217</v>
      </c>
      <c r="J296" t="s">
        <v>7</v>
      </c>
      <c r="K296" t="str">
        <f t="shared" si="4"/>
        <v>00350079</v>
      </c>
      <c r="L296">
        <v>25799000</v>
      </c>
      <c r="M296">
        <v>5001000</v>
      </c>
    </row>
    <row r="297" spans="1:13">
      <c r="A297" t="s">
        <v>131</v>
      </c>
      <c r="B297" t="s">
        <v>278</v>
      </c>
      <c r="C297" t="s">
        <v>133</v>
      </c>
      <c r="D297" t="s">
        <v>241</v>
      </c>
      <c r="E297" t="s">
        <v>237</v>
      </c>
      <c r="F297" t="s">
        <v>238</v>
      </c>
      <c r="G297" t="s">
        <v>7</v>
      </c>
      <c r="H297" t="s">
        <v>217</v>
      </c>
      <c r="I297" t="s">
        <v>217</v>
      </c>
      <c r="J297" t="s">
        <v>7</v>
      </c>
      <c r="K297" t="str">
        <f t="shared" si="4"/>
        <v>00350090</v>
      </c>
      <c r="L297">
        <v>25799000</v>
      </c>
      <c r="M297">
        <v>5001000</v>
      </c>
    </row>
    <row r="298" spans="1:13">
      <c r="A298" t="s">
        <v>131</v>
      </c>
      <c r="B298" t="s">
        <v>278</v>
      </c>
      <c r="C298" t="s">
        <v>119</v>
      </c>
      <c r="D298" t="s">
        <v>274</v>
      </c>
      <c r="E298" t="s">
        <v>237</v>
      </c>
      <c r="F298" t="s">
        <v>238</v>
      </c>
      <c r="G298" t="s">
        <v>7</v>
      </c>
      <c r="H298" t="s">
        <v>217</v>
      </c>
      <c r="I298" t="s">
        <v>217</v>
      </c>
      <c r="J298" t="s">
        <v>7</v>
      </c>
      <c r="K298" t="str">
        <f t="shared" si="4"/>
        <v>00350111</v>
      </c>
      <c r="L298">
        <v>25799000</v>
      </c>
      <c r="M298">
        <v>8433000</v>
      </c>
    </row>
    <row r="299" spans="1:13">
      <c r="A299" t="s">
        <v>131</v>
      </c>
      <c r="B299" t="s">
        <v>278</v>
      </c>
      <c r="C299" t="s">
        <v>140</v>
      </c>
      <c r="D299" t="s">
        <v>243</v>
      </c>
      <c r="E299" t="s">
        <v>237</v>
      </c>
      <c r="F299" t="s">
        <v>238</v>
      </c>
      <c r="G299" t="s">
        <v>7</v>
      </c>
      <c r="H299" t="s">
        <v>217</v>
      </c>
      <c r="I299" t="s">
        <v>217</v>
      </c>
      <c r="J299" t="s">
        <v>7</v>
      </c>
      <c r="K299" t="str">
        <f t="shared" si="4"/>
        <v>00350113</v>
      </c>
      <c r="L299">
        <v>25799000</v>
      </c>
      <c r="M299">
        <v>13001000</v>
      </c>
    </row>
    <row r="300" spans="1:13">
      <c r="A300" t="s">
        <v>131</v>
      </c>
      <c r="B300" t="s">
        <v>278</v>
      </c>
      <c r="C300" t="s">
        <v>156</v>
      </c>
      <c r="D300" t="s">
        <v>244</v>
      </c>
      <c r="E300" t="s">
        <v>237</v>
      </c>
      <c r="F300" t="s">
        <v>238</v>
      </c>
      <c r="G300" t="s">
        <v>7</v>
      </c>
      <c r="H300" t="s">
        <v>217</v>
      </c>
      <c r="I300" t="s">
        <v>217</v>
      </c>
      <c r="J300" t="s">
        <v>7</v>
      </c>
      <c r="K300" t="str">
        <f t="shared" si="4"/>
        <v>00350118</v>
      </c>
      <c r="L300">
        <v>25799000</v>
      </c>
      <c r="M300">
        <v>47001000</v>
      </c>
    </row>
    <row r="301" spans="1:13">
      <c r="A301" t="s">
        <v>131</v>
      </c>
      <c r="B301" t="s">
        <v>278</v>
      </c>
      <c r="C301" t="s">
        <v>181</v>
      </c>
      <c r="D301" t="s">
        <v>260</v>
      </c>
      <c r="E301" t="s">
        <v>237</v>
      </c>
      <c r="F301" t="s">
        <v>238</v>
      </c>
      <c r="G301" t="s">
        <v>7</v>
      </c>
      <c r="H301" t="s">
        <v>217</v>
      </c>
      <c r="I301" t="s">
        <v>217</v>
      </c>
      <c r="J301" t="s">
        <v>7</v>
      </c>
      <c r="K301" t="str">
        <f t="shared" si="4"/>
        <v>00350119</v>
      </c>
      <c r="L301">
        <v>25799000</v>
      </c>
      <c r="M301">
        <v>47001000</v>
      </c>
    </row>
    <row r="302" spans="1:13">
      <c r="A302" t="s">
        <v>131</v>
      </c>
      <c r="B302" t="s">
        <v>278</v>
      </c>
      <c r="C302" t="s">
        <v>162</v>
      </c>
      <c r="D302" t="s">
        <v>245</v>
      </c>
      <c r="E302" t="s">
        <v>237</v>
      </c>
      <c r="F302" t="s">
        <v>238</v>
      </c>
      <c r="G302" t="s">
        <v>7</v>
      </c>
      <c r="H302" t="s">
        <v>217</v>
      </c>
      <c r="I302" t="s">
        <v>217</v>
      </c>
      <c r="J302" t="s">
        <v>7</v>
      </c>
      <c r="K302" t="str">
        <f t="shared" si="4"/>
        <v>00350126</v>
      </c>
      <c r="L302">
        <v>25799000</v>
      </c>
      <c r="M302">
        <v>76001000</v>
      </c>
    </row>
    <row r="303" spans="1:13">
      <c r="A303" t="s">
        <v>131</v>
      </c>
      <c r="B303" t="s">
        <v>278</v>
      </c>
      <c r="C303" t="s">
        <v>166</v>
      </c>
      <c r="D303" t="s">
        <v>246</v>
      </c>
      <c r="E303" t="s">
        <v>237</v>
      </c>
      <c r="F303" t="s">
        <v>238</v>
      </c>
      <c r="G303" t="s">
        <v>7</v>
      </c>
      <c r="H303" t="s">
        <v>217</v>
      </c>
      <c r="I303" t="s">
        <v>217</v>
      </c>
      <c r="J303" t="s">
        <v>7</v>
      </c>
      <c r="K303" t="str">
        <f t="shared" si="4"/>
        <v>00350131</v>
      </c>
      <c r="L303">
        <v>25799000</v>
      </c>
      <c r="M303">
        <v>76109000</v>
      </c>
    </row>
    <row r="304" spans="1:13">
      <c r="A304" t="s">
        <v>131</v>
      </c>
      <c r="B304" t="s">
        <v>278</v>
      </c>
      <c r="C304" t="s">
        <v>130</v>
      </c>
      <c r="D304" t="s">
        <v>247</v>
      </c>
      <c r="E304" t="s">
        <v>237</v>
      </c>
      <c r="F304" t="s">
        <v>238</v>
      </c>
      <c r="G304" t="s">
        <v>7</v>
      </c>
      <c r="H304" t="s">
        <v>217</v>
      </c>
      <c r="I304" t="s">
        <v>217</v>
      </c>
      <c r="J304" t="s">
        <v>7</v>
      </c>
      <c r="K304" t="str">
        <f t="shared" si="4"/>
        <v>00350134</v>
      </c>
      <c r="L304">
        <v>25799000</v>
      </c>
      <c r="M304">
        <v>66170000</v>
      </c>
    </row>
    <row r="305" spans="1:13">
      <c r="A305" t="s">
        <v>131</v>
      </c>
      <c r="B305" t="s">
        <v>278</v>
      </c>
      <c r="C305" t="s">
        <v>155</v>
      </c>
      <c r="D305" t="s">
        <v>248</v>
      </c>
      <c r="E305" t="s">
        <v>237</v>
      </c>
      <c r="F305" t="s">
        <v>238</v>
      </c>
      <c r="G305" t="s">
        <v>7</v>
      </c>
      <c r="H305" t="s">
        <v>217</v>
      </c>
      <c r="I305" t="s">
        <v>217</v>
      </c>
      <c r="J305" t="s">
        <v>7</v>
      </c>
      <c r="K305" t="str">
        <f t="shared" si="4"/>
        <v>00350142</v>
      </c>
      <c r="L305">
        <v>25799000</v>
      </c>
      <c r="M305">
        <v>63001000</v>
      </c>
    </row>
    <row r="306" spans="1:13">
      <c r="A306" t="s">
        <v>131</v>
      </c>
      <c r="B306" t="s">
        <v>278</v>
      </c>
      <c r="C306" t="s">
        <v>153</v>
      </c>
      <c r="D306" t="s">
        <v>249</v>
      </c>
      <c r="E306" t="s">
        <v>237</v>
      </c>
      <c r="F306" t="s">
        <v>238</v>
      </c>
      <c r="G306" t="s">
        <v>7</v>
      </c>
      <c r="H306" t="s">
        <v>217</v>
      </c>
      <c r="I306" t="s">
        <v>217</v>
      </c>
      <c r="J306" t="s">
        <v>7</v>
      </c>
      <c r="K306" t="str">
        <f t="shared" si="4"/>
        <v>00350145</v>
      </c>
      <c r="L306">
        <v>11001000</v>
      </c>
      <c r="M306">
        <v>17001000</v>
      </c>
    </row>
    <row r="307" spans="1:13">
      <c r="A307" t="s">
        <v>131</v>
      </c>
      <c r="B307" t="s">
        <v>278</v>
      </c>
      <c r="C307" t="s">
        <v>123</v>
      </c>
      <c r="D307" t="s">
        <v>263</v>
      </c>
      <c r="E307" t="s">
        <v>237</v>
      </c>
      <c r="F307" t="s">
        <v>238</v>
      </c>
      <c r="G307" t="s">
        <v>7</v>
      </c>
      <c r="H307" t="s">
        <v>217</v>
      </c>
      <c r="I307" t="s">
        <v>217</v>
      </c>
      <c r="J307" t="s">
        <v>7</v>
      </c>
      <c r="K307" t="str">
        <f t="shared" si="4"/>
        <v>00350292</v>
      </c>
      <c r="L307">
        <v>25799000</v>
      </c>
      <c r="M307">
        <v>5360000</v>
      </c>
    </row>
    <row r="308" spans="1:13">
      <c r="A308" t="s">
        <v>131</v>
      </c>
      <c r="B308" t="s">
        <v>278</v>
      </c>
      <c r="C308" t="s">
        <v>145</v>
      </c>
      <c r="D308" t="s">
        <v>254</v>
      </c>
      <c r="E308" t="s">
        <v>237</v>
      </c>
      <c r="F308" t="s">
        <v>238</v>
      </c>
      <c r="G308" t="s">
        <v>7</v>
      </c>
      <c r="H308" t="s">
        <v>217</v>
      </c>
      <c r="I308" t="s">
        <v>217</v>
      </c>
      <c r="J308" t="s">
        <v>7</v>
      </c>
      <c r="K308" t="str">
        <f t="shared" si="4"/>
        <v>00350358</v>
      </c>
      <c r="L308">
        <v>25799000</v>
      </c>
      <c r="M308">
        <v>76001000</v>
      </c>
    </row>
    <row r="309" spans="1:13">
      <c r="A309" t="s">
        <v>131</v>
      </c>
      <c r="B309" t="s">
        <v>278</v>
      </c>
      <c r="C309" t="s">
        <v>117</v>
      </c>
      <c r="D309" t="s">
        <v>251</v>
      </c>
      <c r="E309" t="s">
        <v>237</v>
      </c>
      <c r="F309" t="s">
        <v>238</v>
      </c>
      <c r="G309" t="s">
        <v>7</v>
      </c>
      <c r="H309" t="s">
        <v>217</v>
      </c>
      <c r="I309" t="s">
        <v>217</v>
      </c>
      <c r="J309" t="s">
        <v>7</v>
      </c>
      <c r="K309" t="str">
        <f t="shared" si="4"/>
        <v>00350410</v>
      </c>
      <c r="L309">
        <v>25799000</v>
      </c>
      <c r="M309">
        <v>76892000</v>
      </c>
    </row>
    <row r="310" spans="1:13">
      <c r="A310" t="s">
        <v>131</v>
      </c>
      <c r="B310" t="s">
        <v>278</v>
      </c>
      <c r="C310" t="s">
        <v>152</v>
      </c>
      <c r="D310" t="s">
        <v>252</v>
      </c>
      <c r="E310" t="s">
        <v>237</v>
      </c>
      <c r="F310" t="s">
        <v>238</v>
      </c>
      <c r="G310" t="s">
        <v>7</v>
      </c>
      <c r="H310" t="s">
        <v>217</v>
      </c>
      <c r="I310" t="s">
        <v>217</v>
      </c>
      <c r="J310" t="s">
        <v>7</v>
      </c>
      <c r="K310" t="str">
        <f t="shared" si="4"/>
        <v>00350411</v>
      </c>
      <c r="L310">
        <v>25799000</v>
      </c>
      <c r="M310">
        <v>76001000</v>
      </c>
    </row>
    <row r="311" spans="1:13">
      <c r="A311" t="s">
        <v>116</v>
      </c>
      <c r="B311" t="s">
        <v>235</v>
      </c>
      <c r="C311" t="s">
        <v>131</v>
      </c>
      <c r="D311" t="s">
        <v>278</v>
      </c>
      <c r="E311" t="s">
        <v>237</v>
      </c>
      <c r="F311" t="s">
        <v>238</v>
      </c>
      <c r="G311" t="s">
        <v>7</v>
      </c>
      <c r="H311" t="s">
        <v>217</v>
      </c>
      <c r="I311" t="s">
        <v>217</v>
      </c>
      <c r="J311" t="s">
        <v>7</v>
      </c>
      <c r="K311" t="str">
        <f t="shared" si="4"/>
        <v>00210035</v>
      </c>
      <c r="L311">
        <v>11001000</v>
      </c>
      <c r="M311">
        <v>25799000</v>
      </c>
    </row>
    <row r="312" spans="1:13">
      <c r="A312" t="s">
        <v>163</v>
      </c>
      <c r="B312" t="s">
        <v>275</v>
      </c>
      <c r="C312" t="s">
        <v>131</v>
      </c>
      <c r="D312" t="s">
        <v>278</v>
      </c>
      <c r="E312" t="s">
        <v>237</v>
      </c>
      <c r="F312" t="s">
        <v>238</v>
      </c>
      <c r="G312" t="s">
        <v>7</v>
      </c>
      <c r="H312" t="s">
        <v>217</v>
      </c>
      <c r="I312" t="s">
        <v>217</v>
      </c>
      <c r="J312" t="s">
        <v>7</v>
      </c>
      <c r="K312" t="str">
        <f t="shared" si="4"/>
        <v>00320035</v>
      </c>
      <c r="L312">
        <v>25899000</v>
      </c>
      <c r="M312">
        <v>25799000</v>
      </c>
    </row>
    <row r="313" spans="1:13">
      <c r="A313" t="s">
        <v>118</v>
      </c>
      <c r="B313" t="s">
        <v>112</v>
      </c>
      <c r="C313" t="s">
        <v>131</v>
      </c>
      <c r="D313" t="s">
        <v>278</v>
      </c>
      <c r="E313" t="s">
        <v>237</v>
      </c>
      <c r="F313" t="s">
        <v>238</v>
      </c>
      <c r="G313" t="s">
        <v>7</v>
      </c>
      <c r="H313" t="s">
        <v>217</v>
      </c>
      <c r="I313" t="s">
        <v>217</v>
      </c>
      <c r="J313" t="s">
        <v>7</v>
      </c>
      <c r="K313" t="str">
        <f t="shared" si="4"/>
        <v>00790035</v>
      </c>
      <c r="L313">
        <v>5088000</v>
      </c>
      <c r="M313">
        <v>11001000</v>
      </c>
    </row>
    <row r="314" spans="1:13">
      <c r="A314" t="s">
        <v>124</v>
      </c>
      <c r="B314" t="s">
        <v>242</v>
      </c>
      <c r="C314" t="s">
        <v>131</v>
      </c>
      <c r="D314" t="s">
        <v>278</v>
      </c>
      <c r="E314" t="s">
        <v>237</v>
      </c>
      <c r="F314" t="s">
        <v>238</v>
      </c>
      <c r="G314" t="s">
        <v>7</v>
      </c>
      <c r="H314" t="s">
        <v>217</v>
      </c>
      <c r="I314" t="s">
        <v>217</v>
      </c>
      <c r="J314" t="s">
        <v>7</v>
      </c>
      <c r="K314" t="str">
        <f t="shared" si="4"/>
        <v>00920035</v>
      </c>
      <c r="L314">
        <v>5001000</v>
      </c>
      <c r="M314">
        <v>25799000</v>
      </c>
    </row>
    <row r="315" spans="1:13">
      <c r="A315" t="s">
        <v>119</v>
      </c>
      <c r="B315" t="s">
        <v>274</v>
      </c>
      <c r="C315" t="s">
        <v>131</v>
      </c>
      <c r="D315" t="s">
        <v>278</v>
      </c>
      <c r="E315" t="s">
        <v>237</v>
      </c>
      <c r="F315" t="s">
        <v>238</v>
      </c>
      <c r="G315" t="s">
        <v>7</v>
      </c>
      <c r="H315" t="s">
        <v>217</v>
      </c>
      <c r="I315" t="s">
        <v>217</v>
      </c>
      <c r="J315" t="s">
        <v>7</v>
      </c>
      <c r="K315" t="str">
        <f t="shared" si="4"/>
        <v>01110035</v>
      </c>
      <c r="L315">
        <v>8433000</v>
      </c>
      <c r="M315">
        <v>25799000</v>
      </c>
    </row>
    <row r="316" spans="1:13">
      <c r="A316" t="s">
        <v>141</v>
      </c>
      <c r="B316" t="s">
        <v>250</v>
      </c>
      <c r="C316" t="s">
        <v>131</v>
      </c>
      <c r="D316" t="s">
        <v>278</v>
      </c>
      <c r="E316" t="s">
        <v>237</v>
      </c>
      <c r="F316" t="s">
        <v>238</v>
      </c>
      <c r="G316" t="s">
        <v>7</v>
      </c>
      <c r="H316" t="s">
        <v>217</v>
      </c>
      <c r="I316" t="s">
        <v>217</v>
      </c>
      <c r="J316" t="s">
        <v>7</v>
      </c>
      <c r="K316" t="str">
        <f t="shared" si="4"/>
        <v>01980035</v>
      </c>
      <c r="L316">
        <v>66001000</v>
      </c>
      <c r="M316">
        <v>25799000</v>
      </c>
    </row>
    <row r="317" spans="1:13">
      <c r="A317" t="s">
        <v>117</v>
      </c>
      <c r="B317" t="s">
        <v>251</v>
      </c>
      <c r="C317" t="s">
        <v>131</v>
      </c>
      <c r="D317" t="s">
        <v>278</v>
      </c>
      <c r="E317" t="s">
        <v>237</v>
      </c>
      <c r="F317" t="s">
        <v>238</v>
      </c>
      <c r="G317" t="s">
        <v>7</v>
      </c>
      <c r="H317" t="s">
        <v>217</v>
      </c>
      <c r="I317" t="s">
        <v>217</v>
      </c>
      <c r="J317" t="s">
        <v>7</v>
      </c>
      <c r="K317" t="str">
        <f t="shared" si="4"/>
        <v>04100035</v>
      </c>
      <c r="L317">
        <v>76892000</v>
      </c>
      <c r="M317">
        <v>25799000</v>
      </c>
    </row>
    <row r="318" spans="1:13">
      <c r="A318" t="s">
        <v>125</v>
      </c>
      <c r="B318" t="s">
        <v>277</v>
      </c>
      <c r="C318" t="s">
        <v>131</v>
      </c>
      <c r="D318" t="s">
        <v>278</v>
      </c>
      <c r="E318" t="s">
        <v>237</v>
      </c>
      <c r="F318" t="s">
        <v>238</v>
      </c>
      <c r="G318" t="s">
        <v>7</v>
      </c>
      <c r="H318" t="s">
        <v>217</v>
      </c>
      <c r="I318" t="s">
        <v>217</v>
      </c>
      <c r="J318" t="s">
        <v>7</v>
      </c>
      <c r="K318" t="str">
        <f t="shared" si="4"/>
        <v>04450035</v>
      </c>
      <c r="L318">
        <v>19142000</v>
      </c>
      <c r="M318">
        <v>11001000</v>
      </c>
    </row>
    <row r="319" spans="1:13">
      <c r="A319" t="s">
        <v>186</v>
      </c>
      <c r="B319" t="s">
        <v>262</v>
      </c>
      <c r="C319" t="s">
        <v>172</v>
      </c>
      <c r="D319" t="s">
        <v>258</v>
      </c>
      <c r="E319" t="s">
        <v>237</v>
      </c>
      <c r="F319" t="s">
        <v>238</v>
      </c>
      <c r="G319" t="s">
        <v>7</v>
      </c>
      <c r="H319" t="s">
        <v>217</v>
      </c>
      <c r="I319" t="s">
        <v>217</v>
      </c>
      <c r="J319" t="s">
        <v>7</v>
      </c>
      <c r="K319" t="str">
        <f t="shared" si="4"/>
        <v>02390230</v>
      </c>
      <c r="L319">
        <v>44001000</v>
      </c>
      <c r="M319">
        <v>44430000</v>
      </c>
    </row>
    <row r="320" spans="1:13">
      <c r="A320" t="s">
        <v>116</v>
      </c>
      <c r="B320" t="s">
        <v>235</v>
      </c>
      <c r="C320" t="s">
        <v>159</v>
      </c>
      <c r="D320" t="s">
        <v>279</v>
      </c>
      <c r="E320" t="s">
        <v>237</v>
      </c>
      <c r="F320" t="s">
        <v>238</v>
      </c>
      <c r="G320" t="s">
        <v>7</v>
      </c>
      <c r="H320" t="s">
        <v>217</v>
      </c>
      <c r="I320" t="s">
        <v>217</v>
      </c>
      <c r="J320" t="s">
        <v>7</v>
      </c>
      <c r="K320" t="str">
        <f t="shared" si="4"/>
        <v>00210384</v>
      </c>
      <c r="L320">
        <v>11001000</v>
      </c>
      <c r="M320">
        <v>5154000</v>
      </c>
    </row>
    <row r="321" spans="1:13">
      <c r="A321" t="s">
        <v>116</v>
      </c>
      <c r="B321" t="s">
        <v>235</v>
      </c>
      <c r="C321" t="s">
        <v>129</v>
      </c>
      <c r="D321" t="s">
        <v>280</v>
      </c>
      <c r="E321" t="s">
        <v>237</v>
      </c>
      <c r="F321" t="s">
        <v>238</v>
      </c>
      <c r="G321" t="s">
        <v>7</v>
      </c>
      <c r="H321" t="s">
        <v>217</v>
      </c>
      <c r="I321" t="s">
        <v>217</v>
      </c>
      <c r="J321" t="s">
        <v>7</v>
      </c>
      <c r="K321" t="str">
        <f t="shared" si="4"/>
        <v>00210381</v>
      </c>
      <c r="L321">
        <v>11001000</v>
      </c>
      <c r="M321">
        <v>23001000</v>
      </c>
    </row>
    <row r="322" spans="1:13">
      <c r="A322" t="s">
        <v>116</v>
      </c>
      <c r="B322" t="s">
        <v>235</v>
      </c>
      <c r="C322" t="s">
        <v>134</v>
      </c>
      <c r="D322" t="s">
        <v>281</v>
      </c>
      <c r="E322" t="s">
        <v>237</v>
      </c>
      <c r="F322" t="s">
        <v>238</v>
      </c>
      <c r="G322" t="s">
        <v>7</v>
      </c>
      <c r="H322" t="s">
        <v>217</v>
      </c>
      <c r="I322" t="s">
        <v>217</v>
      </c>
      <c r="J322" t="s">
        <v>7</v>
      </c>
      <c r="K322" t="str">
        <f t="shared" si="4"/>
        <v>00210424</v>
      </c>
      <c r="L322">
        <v>11001000</v>
      </c>
      <c r="M322">
        <v>68081000</v>
      </c>
    </row>
    <row r="323" spans="1:13">
      <c r="A323" t="s">
        <v>116</v>
      </c>
      <c r="B323" t="s">
        <v>235</v>
      </c>
      <c r="C323" t="s">
        <v>121</v>
      </c>
      <c r="D323" t="s">
        <v>282</v>
      </c>
      <c r="E323" t="s">
        <v>237</v>
      </c>
      <c r="F323" t="s">
        <v>238</v>
      </c>
      <c r="G323" t="s">
        <v>7</v>
      </c>
      <c r="H323" t="s">
        <v>217</v>
      </c>
      <c r="I323" t="s">
        <v>217</v>
      </c>
      <c r="J323" t="s">
        <v>7</v>
      </c>
      <c r="K323" t="str">
        <f t="shared" ref="K323:K386" si="5">A323&amp;C323</f>
        <v>00210438</v>
      </c>
      <c r="L323">
        <v>11001000</v>
      </c>
      <c r="M323">
        <v>54001000</v>
      </c>
    </row>
    <row r="324" spans="1:13">
      <c r="A324" t="s">
        <v>116</v>
      </c>
      <c r="B324" t="s">
        <v>235</v>
      </c>
      <c r="C324" t="s">
        <v>132</v>
      </c>
      <c r="D324" t="s">
        <v>255</v>
      </c>
      <c r="E324" t="s">
        <v>237</v>
      </c>
      <c r="F324" t="s">
        <v>238</v>
      </c>
      <c r="G324" t="s">
        <v>7</v>
      </c>
      <c r="H324" t="s">
        <v>217</v>
      </c>
      <c r="I324" t="s">
        <v>217</v>
      </c>
      <c r="J324" t="s">
        <v>7</v>
      </c>
      <c r="K324" t="str">
        <f t="shared" si="5"/>
        <v>00210441</v>
      </c>
      <c r="L324">
        <v>11001000</v>
      </c>
      <c r="M324">
        <v>15238000</v>
      </c>
    </row>
    <row r="325" spans="1:13">
      <c r="A325" t="s">
        <v>116</v>
      </c>
      <c r="B325" t="s">
        <v>235</v>
      </c>
      <c r="C325" t="s">
        <v>154</v>
      </c>
      <c r="D325" t="s">
        <v>283</v>
      </c>
      <c r="E325" t="s">
        <v>237</v>
      </c>
      <c r="F325" t="s">
        <v>238</v>
      </c>
      <c r="G325" t="s">
        <v>7</v>
      </c>
      <c r="H325" t="s">
        <v>217</v>
      </c>
      <c r="I325" t="s">
        <v>217</v>
      </c>
      <c r="J325" t="s">
        <v>7</v>
      </c>
      <c r="K325" t="str">
        <f t="shared" si="5"/>
        <v>00210442</v>
      </c>
      <c r="L325">
        <v>11001000</v>
      </c>
      <c r="M325">
        <v>85001000</v>
      </c>
    </row>
    <row r="326" spans="1:13">
      <c r="A326" t="s">
        <v>116</v>
      </c>
      <c r="B326" t="s">
        <v>235</v>
      </c>
      <c r="C326" t="s">
        <v>158</v>
      </c>
      <c r="D326" t="s">
        <v>284</v>
      </c>
      <c r="E326" t="s">
        <v>237</v>
      </c>
      <c r="F326" t="s">
        <v>238</v>
      </c>
      <c r="G326" t="s">
        <v>7</v>
      </c>
      <c r="H326" t="s">
        <v>217</v>
      </c>
      <c r="I326" t="s">
        <v>217</v>
      </c>
      <c r="J326" t="s">
        <v>7</v>
      </c>
      <c r="K326" t="str">
        <f t="shared" si="5"/>
        <v>00210444</v>
      </c>
      <c r="L326">
        <v>11001000</v>
      </c>
      <c r="M326">
        <v>15176000</v>
      </c>
    </row>
    <row r="327" spans="1:13">
      <c r="A327" t="s">
        <v>116</v>
      </c>
      <c r="B327" t="s">
        <v>235</v>
      </c>
      <c r="C327" t="s">
        <v>144</v>
      </c>
      <c r="D327" t="s">
        <v>285</v>
      </c>
      <c r="E327" t="s">
        <v>237</v>
      </c>
      <c r="F327" t="s">
        <v>238</v>
      </c>
      <c r="G327" t="s">
        <v>7</v>
      </c>
      <c r="H327" t="s">
        <v>217</v>
      </c>
      <c r="I327" t="s">
        <v>217</v>
      </c>
      <c r="J327" t="s">
        <v>7</v>
      </c>
      <c r="K327" t="str">
        <f t="shared" si="5"/>
        <v>00210443</v>
      </c>
      <c r="L327">
        <v>11001000</v>
      </c>
      <c r="M327">
        <v>15001000</v>
      </c>
    </row>
    <row r="328" spans="1:13">
      <c r="A328" t="s">
        <v>116</v>
      </c>
      <c r="B328" t="s">
        <v>235</v>
      </c>
      <c r="C328" t="s">
        <v>149</v>
      </c>
      <c r="D328" t="s">
        <v>286</v>
      </c>
      <c r="E328" t="s">
        <v>237</v>
      </c>
      <c r="F328" t="s">
        <v>238</v>
      </c>
      <c r="G328" t="s">
        <v>7</v>
      </c>
      <c r="H328" t="s">
        <v>217</v>
      </c>
      <c r="I328" t="s">
        <v>217</v>
      </c>
      <c r="J328" t="s">
        <v>7</v>
      </c>
      <c r="K328" t="str">
        <f t="shared" si="5"/>
        <v>00210447</v>
      </c>
      <c r="L328">
        <v>11001000</v>
      </c>
      <c r="M328">
        <v>20001000</v>
      </c>
    </row>
    <row r="329" spans="1:13">
      <c r="A329" t="s">
        <v>116</v>
      </c>
      <c r="B329" t="s">
        <v>235</v>
      </c>
      <c r="C329" t="s">
        <v>160</v>
      </c>
      <c r="D329" t="s">
        <v>287</v>
      </c>
      <c r="E329" t="s">
        <v>237</v>
      </c>
      <c r="F329" t="s">
        <v>238</v>
      </c>
      <c r="G329" t="s">
        <v>7</v>
      </c>
      <c r="H329" t="s">
        <v>217</v>
      </c>
      <c r="I329" t="s">
        <v>217</v>
      </c>
      <c r="J329" t="s">
        <v>7</v>
      </c>
      <c r="K329" t="str">
        <f t="shared" si="5"/>
        <v>00210423</v>
      </c>
      <c r="L329">
        <v>11001000</v>
      </c>
      <c r="M329">
        <v>68001000</v>
      </c>
    </row>
    <row r="330" spans="1:13">
      <c r="A330" t="s">
        <v>116</v>
      </c>
      <c r="B330" t="s">
        <v>235</v>
      </c>
      <c r="C330" t="s">
        <v>157</v>
      </c>
      <c r="D330" t="s">
        <v>288</v>
      </c>
      <c r="E330" t="s">
        <v>237</v>
      </c>
      <c r="F330" t="s">
        <v>238</v>
      </c>
      <c r="G330" t="s">
        <v>7</v>
      </c>
      <c r="H330" t="s">
        <v>217</v>
      </c>
      <c r="I330" t="s">
        <v>217</v>
      </c>
      <c r="J330" t="s">
        <v>7</v>
      </c>
      <c r="K330" t="str">
        <f t="shared" si="5"/>
        <v>00210446</v>
      </c>
      <c r="L330">
        <v>11001000</v>
      </c>
      <c r="M330">
        <v>68077000</v>
      </c>
    </row>
    <row r="331" spans="1:13">
      <c r="A331" t="s">
        <v>116</v>
      </c>
      <c r="B331" t="s">
        <v>235</v>
      </c>
      <c r="C331" t="s">
        <v>170</v>
      </c>
      <c r="D331" t="s">
        <v>270</v>
      </c>
      <c r="E331" t="s">
        <v>237</v>
      </c>
      <c r="F331" t="s">
        <v>238</v>
      </c>
      <c r="G331" t="s">
        <v>7</v>
      </c>
      <c r="H331" t="s">
        <v>217</v>
      </c>
      <c r="I331" t="s">
        <v>217</v>
      </c>
      <c r="J331" t="s">
        <v>7</v>
      </c>
      <c r="K331" t="str">
        <f t="shared" si="5"/>
        <v>00210392</v>
      </c>
      <c r="L331">
        <v>11001000</v>
      </c>
      <c r="M331">
        <v>73443000</v>
      </c>
    </row>
    <row r="332" spans="1:13">
      <c r="A332" t="s">
        <v>116</v>
      </c>
      <c r="B332" t="s">
        <v>235</v>
      </c>
      <c r="C332" t="s">
        <v>126</v>
      </c>
      <c r="D332" t="s">
        <v>267</v>
      </c>
      <c r="E332" t="s">
        <v>237</v>
      </c>
      <c r="F332" t="s">
        <v>238</v>
      </c>
      <c r="G332" t="s">
        <v>7</v>
      </c>
      <c r="H332" t="s">
        <v>217</v>
      </c>
      <c r="I332" t="s">
        <v>217</v>
      </c>
      <c r="J332" t="s">
        <v>7</v>
      </c>
      <c r="K332" t="str">
        <f t="shared" si="5"/>
        <v>00210389</v>
      </c>
      <c r="L332">
        <v>11001000</v>
      </c>
      <c r="M332">
        <v>73001000</v>
      </c>
    </row>
    <row r="333" spans="1:13">
      <c r="A333" t="s">
        <v>116</v>
      </c>
      <c r="B333" t="s">
        <v>235</v>
      </c>
      <c r="C333" t="s">
        <v>122</v>
      </c>
      <c r="D333" t="s">
        <v>289</v>
      </c>
      <c r="E333" t="s">
        <v>237</v>
      </c>
      <c r="F333" t="s">
        <v>238</v>
      </c>
      <c r="G333" t="s">
        <v>7</v>
      </c>
      <c r="H333" t="s">
        <v>217</v>
      </c>
      <c r="I333" t="s">
        <v>217</v>
      </c>
      <c r="J333" t="s">
        <v>7</v>
      </c>
      <c r="K333" t="str">
        <f t="shared" si="5"/>
        <v>00210385</v>
      </c>
      <c r="L333">
        <v>11001000</v>
      </c>
      <c r="M333">
        <v>41001000</v>
      </c>
    </row>
    <row r="334" spans="1:13">
      <c r="A334" t="s">
        <v>116</v>
      </c>
      <c r="B334" t="s">
        <v>235</v>
      </c>
      <c r="C334" t="s">
        <v>135</v>
      </c>
      <c r="D334" t="s">
        <v>290</v>
      </c>
      <c r="E334" t="s">
        <v>237</v>
      </c>
      <c r="F334" t="s">
        <v>238</v>
      </c>
      <c r="G334" t="s">
        <v>7</v>
      </c>
      <c r="H334" t="s">
        <v>217</v>
      </c>
      <c r="I334" t="s">
        <v>217</v>
      </c>
      <c r="J334" t="s">
        <v>7</v>
      </c>
      <c r="K334" t="str">
        <f t="shared" si="5"/>
        <v>00210393</v>
      </c>
      <c r="L334">
        <v>11001000</v>
      </c>
      <c r="M334">
        <v>50001000</v>
      </c>
    </row>
    <row r="335" spans="1:13">
      <c r="A335" t="s">
        <v>116</v>
      </c>
      <c r="B335" t="s">
        <v>235</v>
      </c>
      <c r="C335" t="s">
        <v>150</v>
      </c>
      <c r="D335" t="s">
        <v>256</v>
      </c>
      <c r="E335" t="s">
        <v>237</v>
      </c>
      <c r="F335" t="s">
        <v>238</v>
      </c>
      <c r="G335" t="s">
        <v>7</v>
      </c>
      <c r="H335" t="s">
        <v>217</v>
      </c>
      <c r="I335" t="s">
        <v>217</v>
      </c>
      <c r="J335" t="s">
        <v>7</v>
      </c>
      <c r="K335" t="str">
        <f t="shared" si="5"/>
        <v>00210394</v>
      </c>
      <c r="L335">
        <v>11001000</v>
      </c>
      <c r="M335">
        <v>50313000</v>
      </c>
    </row>
    <row r="336" spans="1:13">
      <c r="A336" t="s">
        <v>116</v>
      </c>
      <c r="B336" t="s">
        <v>235</v>
      </c>
      <c r="C336" t="s">
        <v>151</v>
      </c>
      <c r="D336" t="s">
        <v>271</v>
      </c>
      <c r="E336" t="s">
        <v>237</v>
      </c>
      <c r="F336" t="s">
        <v>238</v>
      </c>
      <c r="G336" t="s">
        <v>7</v>
      </c>
      <c r="H336" t="s">
        <v>217</v>
      </c>
      <c r="I336" t="s">
        <v>217</v>
      </c>
      <c r="J336" t="s">
        <v>7</v>
      </c>
      <c r="K336" t="str">
        <f t="shared" si="5"/>
        <v>00210395</v>
      </c>
      <c r="L336">
        <v>11001000</v>
      </c>
      <c r="M336">
        <v>52001000</v>
      </c>
    </row>
    <row r="337" spans="1:13">
      <c r="A337" t="s">
        <v>116</v>
      </c>
      <c r="B337" t="s">
        <v>235</v>
      </c>
      <c r="C337" t="s">
        <v>127</v>
      </c>
      <c r="D337" t="s">
        <v>268</v>
      </c>
      <c r="E337" t="s">
        <v>237</v>
      </c>
      <c r="F337" t="s">
        <v>238</v>
      </c>
      <c r="G337" t="s">
        <v>7</v>
      </c>
      <c r="H337" t="s">
        <v>217</v>
      </c>
      <c r="I337" t="s">
        <v>217</v>
      </c>
      <c r="J337" t="s">
        <v>7</v>
      </c>
      <c r="K337" t="str">
        <f t="shared" si="5"/>
        <v>00210390</v>
      </c>
      <c r="L337">
        <v>11001000</v>
      </c>
      <c r="M337">
        <v>25612000</v>
      </c>
    </row>
    <row r="338" spans="1:13">
      <c r="A338" t="s">
        <v>116</v>
      </c>
      <c r="B338" t="s">
        <v>235</v>
      </c>
      <c r="C338" t="s">
        <v>143</v>
      </c>
      <c r="D338" t="s">
        <v>266</v>
      </c>
      <c r="E338" t="s">
        <v>237</v>
      </c>
      <c r="F338" t="s">
        <v>238</v>
      </c>
      <c r="G338" t="s">
        <v>7</v>
      </c>
      <c r="H338" t="s">
        <v>217</v>
      </c>
      <c r="I338" t="s">
        <v>217</v>
      </c>
      <c r="J338" t="s">
        <v>7</v>
      </c>
      <c r="K338" t="str">
        <f t="shared" si="5"/>
        <v>00210388</v>
      </c>
      <c r="L338">
        <v>11001000</v>
      </c>
      <c r="M338">
        <v>18001000</v>
      </c>
    </row>
    <row r="339" spans="1:13">
      <c r="A339" t="s">
        <v>116</v>
      </c>
      <c r="B339" t="s">
        <v>235</v>
      </c>
      <c r="C339" t="s">
        <v>171</v>
      </c>
      <c r="D339" t="s">
        <v>269</v>
      </c>
      <c r="E339" t="s">
        <v>237</v>
      </c>
      <c r="F339" t="s">
        <v>238</v>
      </c>
      <c r="G339" t="s">
        <v>7</v>
      </c>
      <c r="H339" t="s">
        <v>217</v>
      </c>
      <c r="I339" t="s">
        <v>217</v>
      </c>
      <c r="J339" t="s">
        <v>7</v>
      </c>
      <c r="K339" t="str">
        <f t="shared" si="5"/>
        <v>00210391</v>
      </c>
      <c r="L339">
        <v>11001000</v>
      </c>
      <c r="M339">
        <v>17380000</v>
      </c>
    </row>
    <row r="340" spans="1:13">
      <c r="A340" t="s">
        <v>116</v>
      </c>
      <c r="B340" t="s">
        <v>235</v>
      </c>
      <c r="C340" t="s">
        <v>139</v>
      </c>
      <c r="D340" t="s">
        <v>273</v>
      </c>
      <c r="E340" t="s">
        <v>237</v>
      </c>
      <c r="F340" t="s">
        <v>238</v>
      </c>
      <c r="G340" t="s">
        <v>7</v>
      </c>
      <c r="H340" t="s">
        <v>217</v>
      </c>
      <c r="I340" t="s">
        <v>217</v>
      </c>
      <c r="J340" t="s">
        <v>7</v>
      </c>
      <c r="K340" t="str">
        <f t="shared" si="5"/>
        <v>00210397</v>
      </c>
      <c r="L340">
        <v>11001000</v>
      </c>
      <c r="M340">
        <v>52356000</v>
      </c>
    </row>
    <row r="341" spans="1:13">
      <c r="A341" t="s">
        <v>116</v>
      </c>
      <c r="B341" t="s">
        <v>235</v>
      </c>
      <c r="C341" t="s">
        <v>177</v>
      </c>
      <c r="D341" t="s">
        <v>264</v>
      </c>
      <c r="E341" t="s">
        <v>237</v>
      </c>
      <c r="F341" t="s">
        <v>238</v>
      </c>
      <c r="G341" t="s">
        <v>7</v>
      </c>
      <c r="H341" t="s">
        <v>217</v>
      </c>
      <c r="I341" t="s">
        <v>217</v>
      </c>
      <c r="J341" t="s">
        <v>7</v>
      </c>
      <c r="K341" t="str">
        <f t="shared" si="5"/>
        <v>00210386</v>
      </c>
      <c r="L341">
        <v>11001000</v>
      </c>
      <c r="M341">
        <v>73671000</v>
      </c>
    </row>
    <row r="342" spans="1:13">
      <c r="A342" t="s">
        <v>116</v>
      </c>
      <c r="B342" t="s">
        <v>235</v>
      </c>
      <c r="C342" t="s">
        <v>169</v>
      </c>
      <c r="D342" t="s">
        <v>291</v>
      </c>
      <c r="E342" t="s">
        <v>237</v>
      </c>
      <c r="F342" t="s">
        <v>238</v>
      </c>
      <c r="G342" t="s">
        <v>7</v>
      </c>
      <c r="H342" t="s">
        <v>217</v>
      </c>
      <c r="I342" t="s">
        <v>217</v>
      </c>
      <c r="J342" t="s">
        <v>7</v>
      </c>
      <c r="K342" t="str">
        <f t="shared" si="5"/>
        <v>00210449</v>
      </c>
      <c r="L342">
        <v>11001000</v>
      </c>
      <c r="M342">
        <v>20060000</v>
      </c>
    </row>
    <row r="343" spans="1:13">
      <c r="A343" t="s">
        <v>116</v>
      </c>
      <c r="B343" t="s">
        <v>235</v>
      </c>
      <c r="C343" t="s">
        <v>120</v>
      </c>
      <c r="D343" t="s">
        <v>292</v>
      </c>
      <c r="E343" t="s">
        <v>237</v>
      </c>
      <c r="F343" t="s">
        <v>238</v>
      </c>
      <c r="G343" t="s">
        <v>7</v>
      </c>
      <c r="H343" t="s">
        <v>217</v>
      </c>
      <c r="I343" t="s">
        <v>217</v>
      </c>
      <c r="J343" t="s">
        <v>7</v>
      </c>
      <c r="K343" t="str">
        <f t="shared" si="5"/>
        <v>00210422</v>
      </c>
      <c r="L343">
        <v>11001000</v>
      </c>
      <c r="M343">
        <v>68547000</v>
      </c>
    </row>
    <row r="344" spans="1:13">
      <c r="A344" t="s">
        <v>116</v>
      </c>
      <c r="B344" t="s">
        <v>235</v>
      </c>
      <c r="C344" t="s">
        <v>161</v>
      </c>
      <c r="D344" t="s">
        <v>293</v>
      </c>
      <c r="E344" t="s">
        <v>237</v>
      </c>
      <c r="F344" t="s">
        <v>238</v>
      </c>
      <c r="G344" t="s">
        <v>7</v>
      </c>
      <c r="H344" t="s">
        <v>217</v>
      </c>
      <c r="I344" t="s">
        <v>217</v>
      </c>
      <c r="J344" t="s">
        <v>7</v>
      </c>
      <c r="K344" t="str">
        <f t="shared" si="5"/>
        <v>00210382</v>
      </c>
      <c r="L344">
        <v>11001000</v>
      </c>
      <c r="M344">
        <v>70001000</v>
      </c>
    </row>
    <row r="345" spans="1:13">
      <c r="A345" t="s">
        <v>116</v>
      </c>
      <c r="B345" t="s">
        <v>235</v>
      </c>
      <c r="C345" t="s">
        <v>148</v>
      </c>
      <c r="D345" t="s">
        <v>294</v>
      </c>
      <c r="E345" t="s">
        <v>237</v>
      </c>
      <c r="F345" t="s">
        <v>238</v>
      </c>
      <c r="G345" t="s">
        <v>7</v>
      </c>
      <c r="H345" t="s">
        <v>217</v>
      </c>
      <c r="I345" t="s">
        <v>217</v>
      </c>
      <c r="J345" t="s">
        <v>7</v>
      </c>
      <c r="K345" t="str">
        <f t="shared" si="5"/>
        <v>00210437</v>
      </c>
      <c r="L345">
        <v>11001000</v>
      </c>
      <c r="M345">
        <v>20011000</v>
      </c>
    </row>
    <row r="346" spans="1:13">
      <c r="A346" t="s">
        <v>116</v>
      </c>
      <c r="B346" t="s">
        <v>235</v>
      </c>
      <c r="C346" t="s">
        <v>165</v>
      </c>
      <c r="D346" t="s">
        <v>295</v>
      </c>
      <c r="E346" t="s">
        <v>237</v>
      </c>
      <c r="F346" t="s">
        <v>238</v>
      </c>
      <c r="G346" t="s">
        <v>7</v>
      </c>
      <c r="H346" t="s">
        <v>217</v>
      </c>
      <c r="I346" t="s">
        <v>217</v>
      </c>
      <c r="J346" t="s">
        <v>7</v>
      </c>
      <c r="K346" t="str">
        <f t="shared" si="5"/>
        <v>00210434</v>
      </c>
      <c r="L346">
        <v>11001000</v>
      </c>
      <c r="M346">
        <v>54498000</v>
      </c>
    </row>
    <row r="347" spans="1:13">
      <c r="A347" t="s">
        <v>116</v>
      </c>
      <c r="B347" t="s">
        <v>235</v>
      </c>
      <c r="C347" t="s">
        <v>189</v>
      </c>
      <c r="D347" t="s">
        <v>296</v>
      </c>
      <c r="E347" t="s">
        <v>237</v>
      </c>
      <c r="F347" t="s">
        <v>238</v>
      </c>
      <c r="G347" t="s">
        <v>7</v>
      </c>
      <c r="H347" t="s">
        <v>217</v>
      </c>
      <c r="I347" t="s">
        <v>217</v>
      </c>
      <c r="J347" t="s">
        <v>7</v>
      </c>
      <c r="K347" t="str">
        <f t="shared" si="5"/>
        <v>00210439</v>
      </c>
      <c r="L347">
        <v>11001000</v>
      </c>
      <c r="M347">
        <v>54001000</v>
      </c>
    </row>
    <row r="348" spans="1:13">
      <c r="A348" t="s">
        <v>116</v>
      </c>
      <c r="B348" t="s">
        <v>235</v>
      </c>
      <c r="C348" t="s">
        <v>138</v>
      </c>
      <c r="D348" t="s">
        <v>265</v>
      </c>
      <c r="E348" t="s">
        <v>237</v>
      </c>
      <c r="F348" t="s">
        <v>238</v>
      </c>
      <c r="G348" t="s">
        <v>7</v>
      </c>
      <c r="H348" t="s">
        <v>217</v>
      </c>
      <c r="I348" t="s">
        <v>217</v>
      </c>
      <c r="J348" t="s">
        <v>7</v>
      </c>
      <c r="K348" t="str">
        <f t="shared" si="5"/>
        <v>00210387</v>
      </c>
      <c r="L348">
        <v>11001000</v>
      </c>
      <c r="M348">
        <v>41298000</v>
      </c>
    </row>
    <row r="349" spans="1:13">
      <c r="A349" t="s">
        <v>116</v>
      </c>
      <c r="B349" t="s">
        <v>235</v>
      </c>
      <c r="C349" t="s">
        <v>178</v>
      </c>
      <c r="D349" t="s">
        <v>297</v>
      </c>
      <c r="E349" t="s">
        <v>237</v>
      </c>
      <c r="F349" t="s">
        <v>238</v>
      </c>
      <c r="G349" t="s">
        <v>7</v>
      </c>
      <c r="H349" t="s">
        <v>217</v>
      </c>
      <c r="I349" t="s">
        <v>217</v>
      </c>
      <c r="J349" t="s">
        <v>7</v>
      </c>
      <c r="K349" t="str">
        <f t="shared" si="5"/>
        <v>00210383</v>
      </c>
      <c r="L349">
        <v>11001000</v>
      </c>
      <c r="M349">
        <v>70001000</v>
      </c>
    </row>
    <row r="350" spans="1:13">
      <c r="A350" t="s">
        <v>116</v>
      </c>
      <c r="B350" t="s">
        <v>235</v>
      </c>
      <c r="C350" t="s">
        <v>167</v>
      </c>
      <c r="D350" t="s">
        <v>298</v>
      </c>
      <c r="E350" t="s">
        <v>237</v>
      </c>
      <c r="F350" t="s">
        <v>238</v>
      </c>
      <c r="G350" t="s">
        <v>7</v>
      </c>
      <c r="H350" t="s">
        <v>217</v>
      </c>
      <c r="I350" t="s">
        <v>217</v>
      </c>
      <c r="J350" t="s">
        <v>7</v>
      </c>
      <c r="K350" t="str">
        <f t="shared" si="5"/>
        <v>00210448</v>
      </c>
      <c r="L350">
        <v>11001000</v>
      </c>
      <c r="M350">
        <v>20001000</v>
      </c>
    </row>
    <row r="351" spans="1:13">
      <c r="A351" t="s">
        <v>116</v>
      </c>
      <c r="B351" t="s">
        <v>235</v>
      </c>
      <c r="C351" t="s">
        <v>187</v>
      </c>
      <c r="D351" t="s">
        <v>299</v>
      </c>
      <c r="E351" t="s">
        <v>237</v>
      </c>
      <c r="F351" t="s">
        <v>238</v>
      </c>
      <c r="G351" t="s">
        <v>7</v>
      </c>
      <c r="H351" t="s">
        <v>217</v>
      </c>
      <c r="I351" t="s">
        <v>217</v>
      </c>
      <c r="J351" t="s">
        <v>7</v>
      </c>
      <c r="K351" t="str">
        <f t="shared" si="5"/>
        <v>00210436</v>
      </c>
      <c r="L351">
        <v>11001000</v>
      </c>
      <c r="M351">
        <v>20001000</v>
      </c>
    </row>
    <row r="352" spans="1:13">
      <c r="A352" t="s">
        <v>163</v>
      </c>
      <c r="B352" t="s">
        <v>275</v>
      </c>
      <c r="C352" t="s">
        <v>132</v>
      </c>
      <c r="D352" t="s">
        <v>255</v>
      </c>
      <c r="E352" t="s">
        <v>237</v>
      </c>
      <c r="F352" t="s">
        <v>238</v>
      </c>
      <c r="G352" t="s">
        <v>7</v>
      </c>
      <c r="H352" t="s">
        <v>217</v>
      </c>
      <c r="I352" t="s">
        <v>217</v>
      </c>
      <c r="J352" t="s">
        <v>7</v>
      </c>
      <c r="K352" t="str">
        <f t="shared" si="5"/>
        <v>00320441</v>
      </c>
      <c r="L352">
        <v>25899000</v>
      </c>
      <c r="M352">
        <v>11001000</v>
      </c>
    </row>
    <row r="353" spans="1:13">
      <c r="A353" t="s">
        <v>131</v>
      </c>
      <c r="B353" t="s">
        <v>278</v>
      </c>
      <c r="C353" t="s">
        <v>160</v>
      </c>
      <c r="D353" t="s">
        <v>287</v>
      </c>
      <c r="E353" t="s">
        <v>237</v>
      </c>
      <c r="F353" t="s">
        <v>238</v>
      </c>
      <c r="G353" t="s">
        <v>7</v>
      </c>
      <c r="H353" t="s">
        <v>217</v>
      </c>
      <c r="I353" t="s">
        <v>217</v>
      </c>
      <c r="J353" t="s">
        <v>7</v>
      </c>
      <c r="K353" t="str">
        <f t="shared" si="5"/>
        <v>00350423</v>
      </c>
      <c r="L353">
        <v>25799000</v>
      </c>
      <c r="M353">
        <v>68001000</v>
      </c>
    </row>
    <row r="354" spans="1:13">
      <c r="A354" t="s">
        <v>131</v>
      </c>
      <c r="B354" t="s">
        <v>278</v>
      </c>
      <c r="C354" t="s">
        <v>159</v>
      </c>
      <c r="D354" t="s">
        <v>279</v>
      </c>
      <c r="E354" t="s">
        <v>237</v>
      </c>
      <c r="F354" t="s">
        <v>238</v>
      </c>
      <c r="G354" t="s">
        <v>7</v>
      </c>
      <c r="H354" t="s">
        <v>217</v>
      </c>
      <c r="I354" t="s">
        <v>217</v>
      </c>
      <c r="J354" t="s">
        <v>7</v>
      </c>
      <c r="K354" t="str">
        <f t="shared" si="5"/>
        <v>00350384</v>
      </c>
      <c r="L354">
        <v>11001000</v>
      </c>
      <c r="M354">
        <v>5154000</v>
      </c>
    </row>
    <row r="355" spans="1:13">
      <c r="A355" t="s">
        <v>131</v>
      </c>
      <c r="B355" t="s">
        <v>278</v>
      </c>
      <c r="C355" t="s">
        <v>129</v>
      </c>
      <c r="D355" t="s">
        <v>280</v>
      </c>
      <c r="E355" t="s">
        <v>237</v>
      </c>
      <c r="F355" t="s">
        <v>238</v>
      </c>
      <c r="G355" t="s">
        <v>7</v>
      </c>
      <c r="H355" t="s">
        <v>217</v>
      </c>
      <c r="I355" t="s">
        <v>217</v>
      </c>
      <c r="J355" t="s">
        <v>7</v>
      </c>
      <c r="K355" t="str">
        <f t="shared" si="5"/>
        <v>00350381</v>
      </c>
      <c r="L355">
        <v>11001000</v>
      </c>
      <c r="M355">
        <v>23001000</v>
      </c>
    </row>
    <row r="356" spans="1:13">
      <c r="A356" t="s">
        <v>131</v>
      </c>
      <c r="B356" t="s">
        <v>278</v>
      </c>
      <c r="C356" t="s">
        <v>161</v>
      </c>
      <c r="D356" t="s">
        <v>293</v>
      </c>
      <c r="E356" t="s">
        <v>237</v>
      </c>
      <c r="F356" t="s">
        <v>238</v>
      </c>
      <c r="G356" t="s">
        <v>7</v>
      </c>
      <c r="H356" t="s">
        <v>217</v>
      </c>
      <c r="I356" t="s">
        <v>217</v>
      </c>
      <c r="J356" t="s">
        <v>7</v>
      </c>
      <c r="K356" t="str">
        <f t="shared" si="5"/>
        <v>00350382</v>
      </c>
      <c r="L356">
        <v>11001000</v>
      </c>
      <c r="M356">
        <v>70001000</v>
      </c>
    </row>
    <row r="357" spans="1:13">
      <c r="A357" t="s">
        <v>131</v>
      </c>
      <c r="B357" t="s">
        <v>278</v>
      </c>
      <c r="C357" t="s">
        <v>178</v>
      </c>
      <c r="D357" t="s">
        <v>297</v>
      </c>
      <c r="E357" t="s">
        <v>237</v>
      </c>
      <c r="F357" t="s">
        <v>238</v>
      </c>
      <c r="G357" t="s">
        <v>7</v>
      </c>
      <c r="H357" t="s">
        <v>217</v>
      </c>
      <c r="I357" t="s">
        <v>217</v>
      </c>
      <c r="J357" t="s">
        <v>7</v>
      </c>
      <c r="K357" t="str">
        <f t="shared" si="5"/>
        <v>00350383</v>
      </c>
      <c r="L357">
        <v>11001000</v>
      </c>
      <c r="M357">
        <v>70001000</v>
      </c>
    </row>
    <row r="358" spans="1:13">
      <c r="A358" t="s">
        <v>131</v>
      </c>
      <c r="B358" t="s">
        <v>278</v>
      </c>
      <c r="C358" t="s">
        <v>126</v>
      </c>
      <c r="D358" t="s">
        <v>267</v>
      </c>
      <c r="E358" t="s">
        <v>237</v>
      </c>
      <c r="F358" t="s">
        <v>238</v>
      </c>
      <c r="G358" t="s">
        <v>7</v>
      </c>
      <c r="H358" t="s">
        <v>217</v>
      </c>
      <c r="I358" t="s">
        <v>217</v>
      </c>
      <c r="J358" t="s">
        <v>7</v>
      </c>
      <c r="K358" t="str">
        <f t="shared" si="5"/>
        <v>00350389</v>
      </c>
      <c r="L358">
        <v>25799000</v>
      </c>
      <c r="M358">
        <v>73001000</v>
      </c>
    </row>
    <row r="359" spans="1:13">
      <c r="A359" t="s">
        <v>131</v>
      </c>
      <c r="B359" t="s">
        <v>278</v>
      </c>
      <c r="C359" t="s">
        <v>171</v>
      </c>
      <c r="D359" t="s">
        <v>269</v>
      </c>
      <c r="E359" t="s">
        <v>237</v>
      </c>
      <c r="F359" t="s">
        <v>238</v>
      </c>
      <c r="G359" t="s">
        <v>7</v>
      </c>
      <c r="H359" t="s">
        <v>217</v>
      </c>
      <c r="I359" t="s">
        <v>217</v>
      </c>
      <c r="J359" t="s">
        <v>7</v>
      </c>
      <c r="K359" t="str">
        <f t="shared" si="5"/>
        <v>00350391</v>
      </c>
      <c r="L359">
        <v>25799000</v>
      </c>
      <c r="M359">
        <v>11001000</v>
      </c>
    </row>
    <row r="360" spans="1:13">
      <c r="A360" t="s">
        <v>131</v>
      </c>
      <c r="B360" t="s">
        <v>278</v>
      </c>
      <c r="C360" t="s">
        <v>122</v>
      </c>
      <c r="D360" t="s">
        <v>289</v>
      </c>
      <c r="E360" t="s">
        <v>237</v>
      </c>
      <c r="F360" t="s">
        <v>238</v>
      </c>
      <c r="G360" t="s">
        <v>7</v>
      </c>
      <c r="H360" t="s">
        <v>217</v>
      </c>
      <c r="I360" t="s">
        <v>217</v>
      </c>
      <c r="J360" t="s">
        <v>7</v>
      </c>
      <c r="K360" t="str">
        <f t="shared" si="5"/>
        <v>00350385</v>
      </c>
      <c r="L360">
        <v>25799000</v>
      </c>
      <c r="M360">
        <v>41001000</v>
      </c>
    </row>
    <row r="361" spans="1:13">
      <c r="A361" t="s">
        <v>131</v>
      </c>
      <c r="B361" t="s">
        <v>278</v>
      </c>
      <c r="C361" t="s">
        <v>127</v>
      </c>
      <c r="D361" t="s">
        <v>268</v>
      </c>
      <c r="E361" t="s">
        <v>237</v>
      </c>
      <c r="F361" t="s">
        <v>238</v>
      </c>
      <c r="G361" t="s">
        <v>7</v>
      </c>
      <c r="H361" t="s">
        <v>217</v>
      </c>
      <c r="I361" t="s">
        <v>217</v>
      </c>
      <c r="J361" t="s">
        <v>7</v>
      </c>
      <c r="K361" t="str">
        <f t="shared" si="5"/>
        <v>00350390</v>
      </c>
      <c r="L361">
        <v>25799000</v>
      </c>
      <c r="M361">
        <v>73001000</v>
      </c>
    </row>
    <row r="362" spans="1:13">
      <c r="A362" t="s">
        <v>131</v>
      </c>
      <c r="B362" t="s">
        <v>278</v>
      </c>
      <c r="C362" t="s">
        <v>143</v>
      </c>
      <c r="D362" t="s">
        <v>266</v>
      </c>
      <c r="E362" t="s">
        <v>237</v>
      </c>
      <c r="F362" t="s">
        <v>238</v>
      </c>
      <c r="G362" t="s">
        <v>7</v>
      </c>
      <c r="H362" t="s">
        <v>217</v>
      </c>
      <c r="I362" t="s">
        <v>217</v>
      </c>
      <c r="J362" t="s">
        <v>7</v>
      </c>
      <c r="K362" t="str">
        <f t="shared" si="5"/>
        <v>00350388</v>
      </c>
      <c r="L362">
        <v>25799000</v>
      </c>
      <c r="M362">
        <v>41001000</v>
      </c>
    </row>
    <row r="363" spans="1:13">
      <c r="A363" t="s">
        <v>131</v>
      </c>
      <c r="B363" t="s">
        <v>278</v>
      </c>
      <c r="C363" t="s">
        <v>135</v>
      </c>
      <c r="D363" t="s">
        <v>290</v>
      </c>
      <c r="E363" t="s">
        <v>237</v>
      </c>
      <c r="F363" t="s">
        <v>238</v>
      </c>
      <c r="G363" t="s">
        <v>7</v>
      </c>
      <c r="H363" t="s">
        <v>217</v>
      </c>
      <c r="I363" t="s">
        <v>217</v>
      </c>
      <c r="J363" t="s">
        <v>7</v>
      </c>
      <c r="K363" t="str">
        <f t="shared" si="5"/>
        <v>00350393</v>
      </c>
      <c r="L363">
        <v>25799000</v>
      </c>
      <c r="M363">
        <v>50001000</v>
      </c>
    </row>
    <row r="364" spans="1:13">
      <c r="A364" t="s">
        <v>131</v>
      </c>
      <c r="B364" t="s">
        <v>278</v>
      </c>
      <c r="C364" t="s">
        <v>150</v>
      </c>
      <c r="D364" t="s">
        <v>256</v>
      </c>
      <c r="E364" t="s">
        <v>237</v>
      </c>
      <c r="F364" t="s">
        <v>238</v>
      </c>
      <c r="G364" t="s">
        <v>7</v>
      </c>
      <c r="H364" t="s">
        <v>217</v>
      </c>
      <c r="I364" t="s">
        <v>217</v>
      </c>
      <c r="J364" t="s">
        <v>7</v>
      </c>
      <c r="K364" t="str">
        <f t="shared" si="5"/>
        <v>00350394</v>
      </c>
      <c r="L364">
        <v>25799000</v>
      </c>
      <c r="M364">
        <v>50001000</v>
      </c>
    </row>
    <row r="365" spans="1:13">
      <c r="A365" t="s">
        <v>131</v>
      </c>
      <c r="B365" t="s">
        <v>278</v>
      </c>
      <c r="C365" t="s">
        <v>151</v>
      </c>
      <c r="D365" t="s">
        <v>271</v>
      </c>
      <c r="E365" t="s">
        <v>237</v>
      </c>
      <c r="F365" t="s">
        <v>238</v>
      </c>
      <c r="G365" t="s">
        <v>7</v>
      </c>
      <c r="H365" t="s">
        <v>217</v>
      </c>
      <c r="I365" t="s">
        <v>217</v>
      </c>
      <c r="J365" t="s">
        <v>7</v>
      </c>
      <c r="K365" t="str">
        <f t="shared" si="5"/>
        <v>00350395</v>
      </c>
      <c r="L365">
        <v>25799000</v>
      </c>
      <c r="M365">
        <v>52001000</v>
      </c>
    </row>
    <row r="366" spans="1:13">
      <c r="A366" t="s">
        <v>131</v>
      </c>
      <c r="B366" t="s">
        <v>278</v>
      </c>
      <c r="C366" t="s">
        <v>139</v>
      </c>
      <c r="D366" t="s">
        <v>273</v>
      </c>
      <c r="E366" t="s">
        <v>237</v>
      </c>
      <c r="F366" t="s">
        <v>238</v>
      </c>
      <c r="G366" t="s">
        <v>7</v>
      </c>
      <c r="H366" t="s">
        <v>217</v>
      </c>
      <c r="I366" t="s">
        <v>217</v>
      </c>
      <c r="J366" t="s">
        <v>7</v>
      </c>
      <c r="K366" t="str">
        <f t="shared" si="5"/>
        <v>00350397</v>
      </c>
      <c r="L366">
        <v>25799000</v>
      </c>
      <c r="M366">
        <v>52001000</v>
      </c>
    </row>
    <row r="367" spans="1:13">
      <c r="A367" t="s">
        <v>131</v>
      </c>
      <c r="B367" t="s">
        <v>278</v>
      </c>
      <c r="C367" t="s">
        <v>134</v>
      </c>
      <c r="D367" t="s">
        <v>281</v>
      </c>
      <c r="E367" t="s">
        <v>237</v>
      </c>
      <c r="F367" t="s">
        <v>238</v>
      </c>
      <c r="G367" t="s">
        <v>7</v>
      </c>
      <c r="H367" t="s">
        <v>217</v>
      </c>
      <c r="I367" t="s">
        <v>217</v>
      </c>
      <c r="J367" t="s">
        <v>7</v>
      </c>
      <c r="K367" t="str">
        <f t="shared" si="5"/>
        <v>00350424</v>
      </c>
      <c r="L367">
        <v>25799000</v>
      </c>
      <c r="M367">
        <v>68001000</v>
      </c>
    </row>
    <row r="368" spans="1:13">
      <c r="A368" t="s">
        <v>131</v>
      </c>
      <c r="B368" t="s">
        <v>278</v>
      </c>
      <c r="C368" t="s">
        <v>148</v>
      </c>
      <c r="D368" t="s">
        <v>294</v>
      </c>
      <c r="E368" t="s">
        <v>237</v>
      </c>
      <c r="F368" t="s">
        <v>238</v>
      </c>
      <c r="G368" t="s">
        <v>7</v>
      </c>
      <c r="H368" t="s">
        <v>217</v>
      </c>
      <c r="I368" t="s">
        <v>217</v>
      </c>
      <c r="J368" t="s">
        <v>7</v>
      </c>
      <c r="K368" t="str">
        <f t="shared" si="5"/>
        <v>00350437</v>
      </c>
      <c r="L368">
        <v>11001000</v>
      </c>
      <c r="M368">
        <v>20011000</v>
      </c>
    </row>
    <row r="369" spans="1:13">
      <c r="A369" t="s">
        <v>131</v>
      </c>
      <c r="B369" t="s">
        <v>278</v>
      </c>
      <c r="C369" t="s">
        <v>165</v>
      </c>
      <c r="D369" t="s">
        <v>295</v>
      </c>
      <c r="E369" t="s">
        <v>237</v>
      </c>
      <c r="F369" t="s">
        <v>238</v>
      </c>
      <c r="G369" t="s">
        <v>7</v>
      </c>
      <c r="H369" t="s">
        <v>217</v>
      </c>
      <c r="I369" t="s">
        <v>217</v>
      </c>
      <c r="J369" t="s">
        <v>7</v>
      </c>
      <c r="K369" t="str">
        <f t="shared" si="5"/>
        <v>00350434</v>
      </c>
      <c r="L369">
        <v>11001000</v>
      </c>
      <c r="M369">
        <v>54498000</v>
      </c>
    </row>
    <row r="370" spans="1:13">
      <c r="A370" t="s">
        <v>131</v>
      </c>
      <c r="B370" t="s">
        <v>278</v>
      </c>
      <c r="C370" t="s">
        <v>121</v>
      </c>
      <c r="D370" t="s">
        <v>282</v>
      </c>
      <c r="E370" t="s">
        <v>237</v>
      </c>
      <c r="F370" t="s">
        <v>238</v>
      </c>
      <c r="G370" t="s">
        <v>7</v>
      </c>
      <c r="H370" t="s">
        <v>217</v>
      </c>
      <c r="I370" t="s">
        <v>217</v>
      </c>
      <c r="J370" t="s">
        <v>7</v>
      </c>
      <c r="K370" t="str">
        <f t="shared" si="5"/>
        <v>00350438</v>
      </c>
      <c r="L370">
        <v>25799000</v>
      </c>
      <c r="M370">
        <v>54001000</v>
      </c>
    </row>
    <row r="371" spans="1:13">
      <c r="A371" t="s">
        <v>131</v>
      </c>
      <c r="B371" t="s">
        <v>278</v>
      </c>
      <c r="C371" t="s">
        <v>132</v>
      </c>
      <c r="D371" t="s">
        <v>255</v>
      </c>
      <c r="E371" t="s">
        <v>237</v>
      </c>
      <c r="F371" t="s">
        <v>238</v>
      </c>
      <c r="G371" t="s">
        <v>7</v>
      </c>
      <c r="H371" t="s">
        <v>217</v>
      </c>
      <c r="I371" t="s">
        <v>217</v>
      </c>
      <c r="J371" t="s">
        <v>7</v>
      </c>
      <c r="K371" t="str">
        <f t="shared" si="5"/>
        <v>00350441</v>
      </c>
      <c r="L371">
        <v>25799000</v>
      </c>
      <c r="M371">
        <v>15238000</v>
      </c>
    </row>
    <row r="372" spans="1:13">
      <c r="A372" t="s">
        <v>131</v>
      </c>
      <c r="B372" t="s">
        <v>278</v>
      </c>
      <c r="C372" t="s">
        <v>154</v>
      </c>
      <c r="D372" t="s">
        <v>283</v>
      </c>
      <c r="E372" t="s">
        <v>237</v>
      </c>
      <c r="F372" t="s">
        <v>238</v>
      </c>
      <c r="G372" t="s">
        <v>7</v>
      </c>
      <c r="H372" t="s">
        <v>217</v>
      </c>
      <c r="I372" t="s">
        <v>217</v>
      </c>
      <c r="J372" t="s">
        <v>7</v>
      </c>
      <c r="K372" t="str">
        <f t="shared" si="5"/>
        <v>00350442</v>
      </c>
      <c r="L372">
        <v>25799000</v>
      </c>
      <c r="M372">
        <v>85001000</v>
      </c>
    </row>
    <row r="373" spans="1:13">
      <c r="A373" t="s">
        <v>131</v>
      </c>
      <c r="B373" t="s">
        <v>278</v>
      </c>
      <c r="C373" t="s">
        <v>158</v>
      </c>
      <c r="D373" t="s">
        <v>284</v>
      </c>
      <c r="E373" t="s">
        <v>237</v>
      </c>
      <c r="F373" t="s">
        <v>238</v>
      </c>
      <c r="G373" t="s">
        <v>7</v>
      </c>
      <c r="H373" t="s">
        <v>217</v>
      </c>
      <c r="I373" t="s">
        <v>217</v>
      </c>
      <c r="J373" t="s">
        <v>7</v>
      </c>
      <c r="K373" t="str">
        <f t="shared" si="5"/>
        <v>00350444</v>
      </c>
      <c r="L373">
        <v>25799000</v>
      </c>
      <c r="M373">
        <v>15176000</v>
      </c>
    </row>
    <row r="374" spans="1:13">
      <c r="A374" t="s">
        <v>131</v>
      </c>
      <c r="B374" t="s">
        <v>278</v>
      </c>
      <c r="C374" t="s">
        <v>157</v>
      </c>
      <c r="D374" t="s">
        <v>288</v>
      </c>
      <c r="E374" t="s">
        <v>237</v>
      </c>
      <c r="F374" t="s">
        <v>238</v>
      </c>
      <c r="G374" t="s">
        <v>7</v>
      </c>
      <c r="H374" t="s">
        <v>217</v>
      </c>
      <c r="I374" t="s">
        <v>217</v>
      </c>
      <c r="J374" t="s">
        <v>7</v>
      </c>
      <c r="K374" t="str">
        <f t="shared" si="5"/>
        <v>00350446</v>
      </c>
      <c r="L374">
        <v>25799000</v>
      </c>
      <c r="M374">
        <v>68077000</v>
      </c>
    </row>
    <row r="375" spans="1:13">
      <c r="A375" t="s">
        <v>131</v>
      </c>
      <c r="B375" t="s">
        <v>278</v>
      </c>
      <c r="C375" t="s">
        <v>144</v>
      </c>
      <c r="D375" t="s">
        <v>285</v>
      </c>
      <c r="E375" t="s">
        <v>237</v>
      </c>
      <c r="F375" t="s">
        <v>238</v>
      </c>
      <c r="G375" t="s">
        <v>7</v>
      </c>
      <c r="H375" t="s">
        <v>217</v>
      </c>
      <c r="I375" t="s">
        <v>217</v>
      </c>
      <c r="J375" t="s">
        <v>7</v>
      </c>
      <c r="K375" t="str">
        <f t="shared" si="5"/>
        <v>00350443</v>
      </c>
      <c r="L375">
        <v>25799000</v>
      </c>
      <c r="M375">
        <v>15001000</v>
      </c>
    </row>
    <row r="376" spans="1:13">
      <c r="A376" t="s">
        <v>131</v>
      </c>
      <c r="B376" t="s">
        <v>278</v>
      </c>
      <c r="C376" t="s">
        <v>149</v>
      </c>
      <c r="D376" t="s">
        <v>286</v>
      </c>
      <c r="E376" t="s">
        <v>237</v>
      </c>
      <c r="F376" t="s">
        <v>238</v>
      </c>
      <c r="G376" t="s">
        <v>7</v>
      </c>
      <c r="H376" t="s">
        <v>217</v>
      </c>
      <c r="I376" t="s">
        <v>217</v>
      </c>
      <c r="J376" t="s">
        <v>7</v>
      </c>
      <c r="K376" t="str">
        <f t="shared" si="5"/>
        <v>00350447</v>
      </c>
      <c r="L376">
        <v>11001000</v>
      </c>
      <c r="M376">
        <v>20001000</v>
      </c>
    </row>
    <row r="377" spans="1:13">
      <c r="A377" t="s">
        <v>131</v>
      </c>
      <c r="B377" t="s">
        <v>278</v>
      </c>
      <c r="C377" t="s">
        <v>169</v>
      </c>
      <c r="D377" t="s">
        <v>291</v>
      </c>
      <c r="E377" t="s">
        <v>237</v>
      </c>
      <c r="F377" t="s">
        <v>238</v>
      </c>
      <c r="G377" t="s">
        <v>7</v>
      </c>
      <c r="H377" t="s">
        <v>217</v>
      </c>
      <c r="I377" t="s">
        <v>217</v>
      </c>
      <c r="J377" t="s">
        <v>7</v>
      </c>
      <c r="K377" t="str">
        <f t="shared" si="5"/>
        <v>00350449</v>
      </c>
      <c r="L377">
        <v>25799000</v>
      </c>
      <c r="M377">
        <v>47001000</v>
      </c>
    </row>
    <row r="378" spans="1:13">
      <c r="A378" t="s">
        <v>131</v>
      </c>
      <c r="B378" t="s">
        <v>278</v>
      </c>
      <c r="C378" t="s">
        <v>120</v>
      </c>
      <c r="D378" t="s">
        <v>292</v>
      </c>
      <c r="E378" t="s">
        <v>237</v>
      </c>
      <c r="F378" t="s">
        <v>238</v>
      </c>
      <c r="G378" t="s">
        <v>7</v>
      </c>
      <c r="H378" t="s">
        <v>217</v>
      </c>
      <c r="I378" t="s">
        <v>217</v>
      </c>
      <c r="J378" t="s">
        <v>7</v>
      </c>
      <c r="K378" t="str">
        <f t="shared" si="5"/>
        <v>00350422</v>
      </c>
      <c r="L378">
        <v>25799000</v>
      </c>
      <c r="M378">
        <v>68001000</v>
      </c>
    </row>
    <row r="379" spans="1:13">
      <c r="A379" t="s">
        <v>118</v>
      </c>
      <c r="B379" t="s">
        <v>112</v>
      </c>
      <c r="C379" t="s">
        <v>159</v>
      </c>
      <c r="D379" t="s">
        <v>279</v>
      </c>
      <c r="E379" t="s">
        <v>237</v>
      </c>
      <c r="F379" t="s">
        <v>238</v>
      </c>
      <c r="G379" t="s">
        <v>7</v>
      </c>
      <c r="H379" t="s">
        <v>217</v>
      </c>
      <c r="I379" t="s">
        <v>217</v>
      </c>
      <c r="J379" t="s">
        <v>7</v>
      </c>
      <c r="K379" t="str">
        <f t="shared" si="5"/>
        <v>00790384</v>
      </c>
      <c r="L379">
        <v>5001000</v>
      </c>
      <c r="M379">
        <v>5154000</v>
      </c>
    </row>
    <row r="380" spans="1:13">
      <c r="A380" t="s">
        <v>118</v>
      </c>
      <c r="B380" t="s">
        <v>112</v>
      </c>
      <c r="C380" t="s">
        <v>129</v>
      </c>
      <c r="D380" t="s">
        <v>280</v>
      </c>
      <c r="E380" t="s">
        <v>237</v>
      </c>
      <c r="F380" t="s">
        <v>238</v>
      </c>
      <c r="G380" t="s">
        <v>7</v>
      </c>
      <c r="H380" t="s">
        <v>217</v>
      </c>
      <c r="I380" t="s">
        <v>217</v>
      </c>
      <c r="J380" t="s">
        <v>7</v>
      </c>
      <c r="K380" t="str">
        <f t="shared" si="5"/>
        <v>00790381</v>
      </c>
      <c r="L380">
        <v>5001000</v>
      </c>
      <c r="M380">
        <v>23001000</v>
      </c>
    </row>
    <row r="381" spans="1:13">
      <c r="A381" t="s">
        <v>118</v>
      </c>
      <c r="B381" t="s">
        <v>112</v>
      </c>
      <c r="C381" t="s">
        <v>161</v>
      </c>
      <c r="D381" t="s">
        <v>293</v>
      </c>
      <c r="E381" t="s">
        <v>237</v>
      </c>
      <c r="F381" t="s">
        <v>238</v>
      </c>
      <c r="G381" t="s">
        <v>7</v>
      </c>
      <c r="H381" t="s">
        <v>217</v>
      </c>
      <c r="I381" t="s">
        <v>217</v>
      </c>
      <c r="J381" t="s">
        <v>7</v>
      </c>
      <c r="K381" t="str">
        <f t="shared" si="5"/>
        <v>00790382</v>
      </c>
      <c r="L381">
        <v>5001000</v>
      </c>
      <c r="M381">
        <v>70001000</v>
      </c>
    </row>
    <row r="382" spans="1:13">
      <c r="A382" t="s">
        <v>118</v>
      </c>
      <c r="B382" t="s">
        <v>112</v>
      </c>
      <c r="C382" t="s">
        <v>134</v>
      </c>
      <c r="D382" t="s">
        <v>281</v>
      </c>
      <c r="E382" t="s">
        <v>237</v>
      </c>
      <c r="F382" t="s">
        <v>238</v>
      </c>
      <c r="G382" t="s">
        <v>7</v>
      </c>
      <c r="H382" t="s">
        <v>217</v>
      </c>
      <c r="I382" t="s">
        <v>217</v>
      </c>
      <c r="J382" t="s">
        <v>7</v>
      </c>
      <c r="K382" t="str">
        <f t="shared" si="5"/>
        <v>00790424</v>
      </c>
      <c r="L382">
        <v>5001000</v>
      </c>
      <c r="M382">
        <v>68081000</v>
      </c>
    </row>
    <row r="383" spans="1:13">
      <c r="A383" t="s">
        <v>118</v>
      </c>
      <c r="B383" t="s">
        <v>112</v>
      </c>
      <c r="C383" t="s">
        <v>121</v>
      </c>
      <c r="D383" t="s">
        <v>282</v>
      </c>
      <c r="E383" t="s">
        <v>237</v>
      </c>
      <c r="F383" t="s">
        <v>238</v>
      </c>
      <c r="G383" t="s">
        <v>7</v>
      </c>
      <c r="H383" t="s">
        <v>217</v>
      </c>
      <c r="I383" t="s">
        <v>217</v>
      </c>
      <c r="J383" t="s">
        <v>7</v>
      </c>
      <c r="K383" t="str">
        <f t="shared" si="5"/>
        <v>00790438</v>
      </c>
      <c r="L383">
        <v>5001000</v>
      </c>
      <c r="M383">
        <v>54001000</v>
      </c>
    </row>
    <row r="384" spans="1:13">
      <c r="A384" t="s">
        <v>118</v>
      </c>
      <c r="B384" t="s">
        <v>112</v>
      </c>
      <c r="C384" t="s">
        <v>132</v>
      </c>
      <c r="D384" t="s">
        <v>255</v>
      </c>
      <c r="E384" t="s">
        <v>237</v>
      </c>
      <c r="F384" t="s">
        <v>238</v>
      </c>
      <c r="G384" t="s">
        <v>7</v>
      </c>
      <c r="H384" t="s">
        <v>217</v>
      </c>
      <c r="I384" t="s">
        <v>217</v>
      </c>
      <c r="J384" t="s">
        <v>7</v>
      </c>
      <c r="K384" t="str">
        <f t="shared" si="5"/>
        <v>00790441</v>
      </c>
      <c r="L384">
        <v>5088000</v>
      </c>
      <c r="M384">
        <v>11001000</v>
      </c>
    </row>
    <row r="385" spans="1:13">
      <c r="A385" t="s">
        <v>118</v>
      </c>
      <c r="B385" t="s">
        <v>112</v>
      </c>
      <c r="C385" t="s">
        <v>154</v>
      </c>
      <c r="D385" t="s">
        <v>283</v>
      </c>
      <c r="E385" t="s">
        <v>237</v>
      </c>
      <c r="F385" t="s">
        <v>238</v>
      </c>
      <c r="G385" t="s">
        <v>7</v>
      </c>
      <c r="H385" t="s">
        <v>217</v>
      </c>
      <c r="I385" t="s">
        <v>217</v>
      </c>
      <c r="J385" t="s">
        <v>7</v>
      </c>
      <c r="K385" t="str">
        <f t="shared" si="5"/>
        <v>00790442</v>
      </c>
      <c r="L385">
        <v>5001000</v>
      </c>
      <c r="M385">
        <v>85001000</v>
      </c>
    </row>
    <row r="386" spans="1:13">
      <c r="A386" t="s">
        <v>118</v>
      </c>
      <c r="B386" t="s">
        <v>112</v>
      </c>
      <c r="C386" t="s">
        <v>158</v>
      </c>
      <c r="D386" t="s">
        <v>284</v>
      </c>
      <c r="E386" t="s">
        <v>237</v>
      </c>
      <c r="F386" t="s">
        <v>238</v>
      </c>
      <c r="G386" t="s">
        <v>7</v>
      </c>
      <c r="H386" t="s">
        <v>217</v>
      </c>
      <c r="I386" t="s">
        <v>217</v>
      </c>
      <c r="J386" t="s">
        <v>7</v>
      </c>
      <c r="K386" t="str">
        <f t="shared" si="5"/>
        <v>00790444</v>
      </c>
      <c r="L386">
        <v>5001000</v>
      </c>
      <c r="M386">
        <v>15238000</v>
      </c>
    </row>
    <row r="387" spans="1:13">
      <c r="A387" t="s">
        <v>118</v>
      </c>
      <c r="B387" t="s">
        <v>112</v>
      </c>
      <c r="C387" t="s">
        <v>144</v>
      </c>
      <c r="D387" t="s">
        <v>285</v>
      </c>
      <c r="E387" t="s">
        <v>237</v>
      </c>
      <c r="F387" t="s">
        <v>238</v>
      </c>
      <c r="G387" t="s">
        <v>7</v>
      </c>
      <c r="H387" t="s">
        <v>217</v>
      </c>
      <c r="I387" t="s">
        <v>217</v>
      </c>
      <c r="J387" t="s">
        <v>7</v>
      </c>
      <c r="K387" t="str">
        <f t="shared" ref="K387:K450" si="6">A387&amp;C387</f>
        <v>00790443</v>
      </c>
      <c r="L387">
        <v>5001000</v>
      </c>
      <c r="M387">
        <v>15001000</v>
      </c>
    </row>
    <row r="388" spans="1:13">
      <c r="A388" t="s">
        <v>118</v>
      </c>
      <c r="B388" t="s">
        <v>112</v>
      </c>
      <c r="C388" t="s">
        <v>149</v>
      </c>
      <c r="D388" t="s">
        <v>286</v>
      </c>
      <c r="E388" t="s">
        <v>237</v>
      </c>
      <c r="F388" t="s">
        <v>238</v>
      </c>
      <c r="G388" t="s">
        <v>7</v>
      </c>
      <c r="H388" t="s">
        <v>217</v>
      </c>
      <c r="I388" t="s">
        <v>217</v>
      </c>
      <c r="J388" t="s">
        <v>7</v>
      </c>
      <c r="K388" t="str">
        <f t="shared" si="6"/>
        <v>00790447</v>
      </c>
      <c r="L388">
        <v>5001000</v>
      </c>
      <c r="M388">
        <v>20001000</v>
      </c>
    </row>
    <row r="389" spans="1:13">
      <c r="A389" t="s">
        <v>118</v>
      </c>
      <c r="B389" t="s">
        <v>112</v>
      </c>
      <c r="C389" t="s">
        <v>157</v>
      </c>
      <c r="D389" t="s">
        <v>288</v>
      </c>
      <c r="E389" t="s">
        <v>237</v>
      </c>
      <c r="F389" t="s">
        <v>238</v>
      </c>
      <c r="G389" t="s">
        <v>7</v>
      </c>
      <c r="H389" t="s">
        <v>217</v>
      </c>
      <c r="I389" t="s">
        <v>217</v>
      </c>
      <c r="J389" t="s">
        <v>7</v>
      </c>
      <c r="K389" t="str">
        <f t="shared" si="6"/>
        <v>00790446</v>
      </c>
      <c r="L389">
        <v>5001000</v>
      </c>
      <c r="M389">
        <v>15238000</v>
      </c>
    </row>
    <row r="390" spans="1:13">
      <c r="A390" t="s">
        <v>118</v>
      </c>
      <c r="B390" t="s">
        <v>112</v>
      </c>
      <c r="C390" t="s">
        <v>122</v>
      </c>
      <c r="D390" t="s">
        <v>289</v>
      </c>
      <c r="E390" t="s">
        <v>237</v>
      </c>
      <c r="F390" t="s">
        <v>238</v>
      </c>
      <c r="G390" t="s">
        <v>7</v>
      </c>
      <c r="H390" t="s">
        <v>217</v>
      </c>
      <c r="I390" t="s">
        <v>217</v>
      </c>
      <c r="J390" t="s">
        <v>7</v>
      </c>
      <c r="K390" t="str">
        <f t="shared" si="6"/>
        <v>00790385</v>
      </c>
      <c r="L390">
        <v>5001000</v>
      </c>
      <c r="M390">
        <v>41001000</v>
      </c>
    </row>
    <row r="391" spans="1:13">
      <c r="A391" t="s">
        <v>118</v>
      </c>
      <c r="B391" t="s">
        <v>112</v>
      </c>
      <c r="C391" t="s">
        <v>135</v>
      </c>
      <c r="D391" t="s">
        <v>290</v>
      </c>
      <c r="E391" t="s">
        <v>237</v>
      </c>
      <c r="F391" t="s">
        <v>238</v>
      </c>
      <c r="G391" t="s">
        <v>7</v>
      </c>
      <c r="H391" t="s">
        <v>217</v>
      </c>
      <c r="I391" t="s">
        <v>217</v>
      </c>
      <c r="J391" t="s">
        <v>7</v>
      </c>
      <c r="K391" t="str">
        <f t="shared" si="6"/>
        <v>00790393</v>
      </c>
      <c r="L391">
        <v>5001000</v>
      </c>
      <c r="M391">
        <v>50001000</v>
      </c>
    </row>
    <row r="392" spans="1:13">
      <c r="A392" t="s">
        <v>118</v>
      </c>
      <c r="B392" t="s">
        <v>112</v>
      </c>
      <c r="C392" t="s">
        <v>151</v>
      </c>
      <c r="D392" t="s">
        <v>271</v>
      </c>
      <c r="E392" t="s">
        <v>237</v>
      </c>
      <c r="F392" t="s">
        <v>238</v>
      </c>
      <c r="G392" t="s">
        <v>7</v>
      </c>
      <c r="H392" t="s">
        <v>217</v>
      </c>
      <c r="I392" t="s">
        <v>217</v>
      </c>
      <c r="J392" t="s">
        <v>7</v>
      </c>
      <c r="K392" t="str">
        <f t="shared" si="6"/>
        <v>00790395</v>
      </c>
      <c r="L392">
        <v>5001000</v>
      </c>
      <c r="M392">
        <v>52001000</v>
      </c>
    </row>
    <row r="393" spans="1:13">
      <c r="A393" t="s">
        <v>118</v>
      </c>
      <c r="B393" t="s">
        <v>112</v>
      </c>
      <c r="C393" t="s">
        <v>127</v>
      </c>
      <c r="D393" t="s">
        <v>268</v>
      </c>
      <c r="E393" t="s">
        <v>237</v>
      </c>
      <c r="F393" t="s">
        <v>238</v>
      </c>
      <c r="G393" t="s">
        <v>7</v>
      </c>
      <c r="H393" t="s">
        <v>217</v>
      </c>
      <c r="I393" t="s">
        <v>217</v>
      </c>
      <c r="J393" t="s">
        <v>7</v>
      </c>
      <c r="K393" t="str">
        <f t="shared" si="6"/>
        <v>00790390</v>
      </c>
      <c r="L393">
        <v>5088000</v>
      </c>
      <c r="M393">
        <v>73001000</v>
      </c>
    </row>
    <row r="394" spans="1:13">
      <c r="A394" t="s">
        <v>118</v>
      </c>
      <c r="B394" t="s">
        <v>112</v>
      </c>
      <c r="C394" t="s">
        <v>143</v>
      </c>
      <c r="D394" t="s">
        <v>266</v>
      </c>
      <c r="E394" t="s">
        <v>237</v>
      </c>
      <c r="F394" t="s">
        <v>238</v>
      </c>
      <c r="G394" t="s">
        <v>7</v>
      </c>
      <c r="H394" t="s">
        <v>217</v>
      </c>
      <c r="I394" t="s">
        <v>217</v>
      </c>
      <c r="J394" t="s">
        <v>7</v>
      </c>
      <c r="K394" t="str">
        <f t="shared" si="6"/>
        <v>00790388</v>
      </c>
      <c r="L394">
        <v>5001000</v>
      </c>
      <c r="M394">
        <v>18001000</v>
      </c>
    </row>
    <row r="395" spans="1:13">
      <c r="A395" t="s">
        <v>118</v>
      </c>
      <c r="B395" t="s">
        <v>112</v>
      </c>
      <c r="C395" t="s">
        <v>170</v>
      </c>
      <c r="D395" t="s">
        <v>270</v>
      </c>
      <c r="E395" t="s">
        <v>237</v>
      </c>
      <c r="F395" t="s">
        <v>238</v>
      </c>
      <c r="G395" t="s">
        <v>7</v>
      </c>
      <c r="H395" t="s">
        <v>217</v>
      </c>
      <c r="I395" t="s">
        <v>217</v>
      </c>
      <c r="J395" t="s">
        <v>7</v>
      </c>
      <c r="K395" t="str">
        <f t="shared" si="6"/>
        <v>00790392</v>
      </c>
      <c r="L395">
        <v>5088000</v>
      </c>
      <c r="M395">
        <v>73001000</v>
      </c>
    </row>
    <row r="396" spans="1:13">
      <c r="A396" t="s">
        <v>118</v>
      </c>
      <c r="B396" t="s">
        <v>112</v>
      </c>
      <c r="C396" t="s">
        <v>171</v>
      </c>
      <c r="D396" t="s">
        <v>269</v>
      </c>
      <c r="E396" t="s">
        <v>237</v>
      </c>
      <c r="F396" t="s">
        <v>238</v>
      </c>
      <c r="G396" t="s">
        <v>7</v>
      </c>
      <c r="H396" t="s">
        <v>217</v>
      </c>
      <c r="I396" t="s">
        <v>217</v>
      </c>
      <c r="J396" t="s">
        <v>7</v>
      </c>
      <c r="K396" t="str">
        <f t="shared" si="6"/>
        <v>00790391</v>
      </c>
      <c r="L396">
        <v>5088000</v>
      </c>
      <c r="M396">
        <v>11001000</v>
      </c>
    </row>
    <row r="397" spans="1:13">
      <c r="A397" t="s">
        <v>118</v>
      </c>
      <c r="B397" t="s">
        <v>112</v>
      </c>
      <c r="C397" t="s">
        <v>126</v>
      </c>
      <c r="D397" t="s">
        <v>267</v>
      </c>
      <c r="E397" t="s">
        <v>237</v>
      </c>
      <c r="F397" t="s">
        <v>238</v>
      </c>
      <c r="G397" t="s">
        <v>7</v>
      </c>
      <c r="H397" t="s">
        <v>217</v>
      </c>
      <c r="I397" t="s">
        <v>217</v>
      </c>
      <c r="J397" t="s">
        <v>7</v>
      </c>
      <c r="K397" t="str">
        <f t="shared" si="6"/>
        <v>00790389</v>
      </c>
      <c r="L397">
        <v>5088000</v>
      </c>
      <c r="M397">
        <v>73001000</v>
      </c>
    </row>
    <row r="398" spans="1:13">
      <c r="A398" t="s">
        <v>118</v>
      </c>
      <c r="B398" t="s">
        <v>112</v>
      </c>
      <c r="C398" t="s">
        <v>150</v>
      </c>
      <c r="D398" t="s">
        <v>256</v>
      </c>
      <c r="E398" t="s">
        <v>237</v>
      </c>
      <c r="F398" t="s">
        <v>238</v>
      </c>
      <c r="G398" t="s">
        <v>7</v>
      </c>
      <c r="H398" t="s">
        <v>217</v>
      </c>
      <c r="I398" t="s">
        <v>217</v>
      </c>
      <c r="J398" t="s">
        <v>7</v>
      </c>
      <c r="K398" t="str">
        <f t="shared" si="6"/>
        <v>00790394</v>
      </c>
      <c r="L398">
        <v>5001000</v>
      </c>
      <c r="M398">
        <v>50001000</v>
      </c>
    </row>
    <row r="399" spans="1:13">
      <c r="A399" t="s">
        <v>118</v>
      </c>
      <c r="B399" t="s">
        <v>112</v>
      </c>
      <c r="C399" t="s">
        <v>139</v>
      </c>
      <c r="D399" t="s">
        <v>273</v>
      </c>
      <c r="E399" t="s">
        <v>237</v>
      </c>
      <c r="F399" t="s">
        <v>238</v>
      </c>
      <c r="G399" t="s">
        <v>7</v>
      </c>
      <c r="H399" t="s">
        <v>217</v>
      </c>
      <c r="I399" t="s">
        <v>217</v>
      </c>
      <c r="J399" t="s">
        <v>7</v>
      </c>
      <c r="K399" t="str">
        <f t="shared" si="6"/>
        <v>00790397</v>
      </c>
      <c r="L399">
        <v>5001000</v>
      </c>
      <c r="M399">
        <v>52356000</v>
      </c>
    </row>
    <row r="400" spans="1:13">
      <c r="A400" t="s">
        <v>118</v>
      </c>
      <c r="B400" t="s">
        <v>112</v>
      </c>
      <c r="C400" t="s">
        <v>146</v>
      </c>
      <c r="D400" t="s">
        <v>272</v>
      </c>
      <c r="E400" t="s">
        <v>237</v>
      </c>
      <c r="F400" t="s">
        <v>238</v>
      </c>
      <c r="G400" t="s">
        <v>7</v>
      </c>
      <c r="H400" t="s">
        <v>217</v>
      </c>
      <c r="I400" t="s">
        <v>217</v>
      </c>
      <c r="J400" t="s">
        <v>7</v>
      </c>
      <c r="K400" t="str">
        <f t="shared" si="6"/>
        <v>00790396</v>
      </c>
      <c r="L400">
        <v>5001000</v>
      </c>
      <c r="M400">
        <v>52835000</v>
      </c>
    </row>
    <row r="401" spans="1:13">
      <c r="A401" t="s">
        <v>118</v>
      </c>
      <c r="B401" t="s">
        <v>112</v>
      </c>
      <c r="C401" t="s">
        <v>120</v>
      </c>
      <c r="D401" t="s">
        <v>292</v>
      </c>
      <c r="E401" t="s">
        <v>237</v>
      </c>
      <c r="F401" t="s">
        <v>238</v>
      </c>
      <c r="G401" t="s">
        <v>7</v>
      </c>
      <c r="H401" t="s">
        <v>217</v>
      </c>
      <c r="I401" t="s">
        <v>217</v>
      </c>
      <c r="J401" t="s">
        <v>7</v>
      </c>
      <c r="K401" t="str">
        <f t="shared" si="6"/>
        <v>00790422</v>
      </c>
      <c r="L401">
        <v>5001000</v>
      </c>
      <c r="M401">
        <v>68547000</v>
      </c>
    </row>
    <row r="402" spans="1:13">
      <c r="A402" t="s">
        <v>118</v>
      </c>
      <c r="B402" t="s">
        <v>112</v>
      </c>
      <c r="C402" t="s">
        <v>177</v>
      </c>
      <c r="D402" t="s">
        <v>264</v>
      </c>
      <c r="E402" t="s">
        <v>237</v>
      </c>
      <c r="F402" t="s">
        <v>238</v>
      </c>
      <c r="G402" t="s">
        <v>7</v>
      </c>
      <c r="H402" t="s">
        <v>217</v>
      </c>
      <c r="I402" t="s">
        <v>217</v>
      </c>
      <c r="J402" t="s">
        <v>7</v>
      </c>
      <c r="K402" t="str">
        <f t="shared" si="6"/>
        <v>00790386</v>
      </c>
      <c r="L402">
        <v>5088000</v>
      </c>
      <c r="M402">
        <v>73001000</v>
      </c>
    </row>
    <row r="403" spans="1:13">
      <c r="A403" t="s">
        <v>118</v>
      </c>
      <c r="B403" t="s">
        <v>112</v>
      </c>
      <c r="C403" t="s">
        <v>138</v>
      </c>
      <c r="D403" t="s">
        <v>265</v>
      </c>
      <c r="E403" t="s">
        <v>237</v>
      </c>
      <c r="F403" t="s">
        <v>238</v>
      </c>
      <c r="G403" t="s">
        <v>7</v>
      </c>
      <c r="H403" t="s">
        <v>217</v>
      </c>
      <c r="I403" t="s">
        <v>217</v>
      </c>
      <c r="J403" t="s">
        <v>7</v>
      </c>
      <c r="K403" t="str">
        <f t="shared" si="6"/>
        <v>00790387</v>
      </c>
      <c r="L403">
        <v>5001000</v>
      </c>
      <c r="M403">
        <v>41001000</v>
      </c>
    </row>
    <row r="404" spans="1:13">
      <c r="A404" t="s">
        <v>118</v>
      </c>
      <c r="B404" t="s">
        <v>112</v>
      </c>
      <c r="C404" t="s">
        <v>169</v>
      </c>
      <c r="D404" t="s">
        <v>291</v>
      </c>
      <c r="E404" t="s">
        <v>237</v>
      </c>
      <c r="F404" t="s">
        <v>238</v>
      </c>
      <c r="G404" t="s">
        <v>7</v>
      </c>
      <c r="H404" t="s">
        <v>217</v>
      </c>
      <c r="I404" t="s">
        <v>217</v>
      </c>
      <c r="J404" t="s">
        <v>7</v>
      </c>
      <c r="K404" t="str">
        <f t="shared" si="6"/>
        <v>00790449</v>
      </c>
      <c r="L404">
        <v>5088000</v>
      </c>
      <c r="M404">
        <v>47001000</v>
      </c>
    </row>
    <row r="405" spans="1:13">
      <c r="A405" t="s">
        <v>118</v>
      </c>
      <c r="B405" t="s">
        <v>112</v>
      </c>
      <c r="C405" t="s">
        <v>167</v>
      </c>
      <c r="D405" t="s">
        <v>298</v>
      </c>
      <c r="E405" t="s">
        <v>237</v>
      </c>
      <c r="F405" t="s">
        <v>238</v>
      </c>
      <c r="G405" t="s">
        <v>7</v>
      </c>
      <c r="H405" t="s">
        <v>217</v>
      </c>
      <c r="I405" t="s">
        <v>217</v>
      </c>
      <c r="J405" t="s">
        <v>7</v>
      </c>
      <c r="K405" t="str">
        <f t="shared" si="6"/>
        <v>00790448</v>
      </c>
      <c r="L405">
        <v>5001000</v>
      </c>
      <c r="M405">
        <v>20001000</v>
      </c>
    </row>
    <row r="406" spans="1:13">
      <c r="A406" t="s">
        <v>118</v>
      </c>
      <c r="B406" t="s">
        <v>112</v>
      </c>
      <c r="C406" t="s">
        <v>178</v>
      </c>
      <c r="D406" t="s">
        <v>297</v>
      </c>
      <c r="E406" t="s">
        <v>237</v>
      </c>
      <c r="F406" t="s">
        <v>238</v>
      </c>
      <c r="G406" t="s">
        <v>7</v>
      </c>
      <c r="H406" t="s">
        <v>217</v>
      </c>
      <c r="I406" t="s">
        <v>217</v>
      </c>
      <c r="J406" t="s">
        <v>7</v>
      </c>
      <c r="K406" t="str">
        <f t="shared" si="6"/>
        <v>00790383</v>
      </c>
      <c r="L406">
        <v>5001000</v>
      </c>
      <c r="M406">
        <v>70001000</v>
      </c>
    </row>
    <row r="407" spans="1:13">
      <c r="A407" t="s">
        <v>118</v>
      </c>
      <c r="B407" t="s">
        <v>112</v>
      </c>
      <c r="C407" t="s">
        <v>173</v>
      </c>
      <c r="D407" t="s">
        <v>300</v>
      </c>
      <c r="E407" t="s">
        <v>237</v>
      </c>
      <c r="F407" t="s">
        <v>238</v>
      </c>
      <c r="G407" t="s">
        <v>7</v>
      </c>
      <c r="H407" t="s">
        <v>217</v>
      </c>
      <c r="I407" t="s">
        <v>217</v>
      </c>
      <c r="J407" t="s">
        <v>7</v>
      </c>
      <c r="K407" t="str">
        <f t="shared" si="6"/>
        <v>00790433</v>
      </c>
      <c r="L407">
        <v>5088000</v>
      </c>
      <c r="M407">
        <v>5001000</v>
      </c>
    </row>
    <row r="408" spans="1:13">
      <c r="A408" t="s">
        <v>118</v>
      </c>
      <c r="B408" t="s">
        <v>112</v>
      </c>
      <c r="C408" t="s">
        <v>189</v>
      </c>
      <c r="D408" t="s">
        <v>296</v>
      </c>
      <c r="E408" t="s">
        <v>237</v>
      </c>
      <c r="F408" t="s">
        <v>238</v>
      </c>
      <c r="G408" t="s">
        <v>7</v>
      </c>
      <c r="H408" t="s">
        <v>217</v>
      </c>
      <c r="I408" t="s">
        <v>217</v>
      </c>
      <c r="J408" t="s">
        <v>7</v>
      </c>
      <c r="K408" t="str">
        <f t="shared" si="6"/>
        <v>00790439</v>
      </c>
      <c r="L408">
        <v>5001000</v>
      </c>
      <c r="M408">
        <v>54001000</v>
      </c>
    </row>
    <row r="409" spans="1:13">
      <c r="A409" t="s">
        <v>118</v>
      </c>
      <c r="B409" t="s">
        <v>112</v>
      </c>
      <c r="C409" t="s">
        <v>148</v>
      </c>
      <c r="D409" t="s">
        <v>294</v>
      </c>
      <c r="E409" t="s">
        <v>237</v>
      </c>
      <c r="F409" t="s">
        <v>238</v>
      </c>
      <c r="G409" t="s">
        <v>7</v>
      </c>
      <c r="H409" t="s">
        <v>217</v>
      </c>
      <c r="I409" t="s">
        <v>217</v>
      </c>
      <c r="J409" t="s">
        <v>7</v>
      </c>
      <c r="K409" t="str">
        <f t="shared" si="6"/>
        <v>00790437</v>
      </c>
      <c r="L409">
        <v>5001000</v>
      </c>
      <c r="M409">
        <v>20011000</v>
      </c>
    </row>
    <row r="410" spans="1:13">
      <c r="A410" t="s">
        <v>118</v>
      </c>
      <c r="B410" t="s">
        <v>112</v>
      </c>
      <c r="C410" t="s">
        <v>165</v>
      </c>
      <c r="D410" t="s">
        <v>295</v>
      </c>
      <c r="E410" t="s">
        <v>237</v>
      </c>
      <c r="F410" t="s">
        <v>238</v>
      </c>
      <c r="G410" t="s">
        <v>7</v>
      </c>
      <c r="H410" t="s">
        <v>217</v>
      </c>
      <c r="I410" t="s">
        <v>217</v>
      </c>
      <c r="J410" t="s">
        <v>7</v>
      </c>
      <c r="K410" t="str">
        <f t="shared" si="6"/>
        <v>00790434</v>
      </c>
      <c r="L410">
        <v>5001000</v>
      </c>
      <c r="M410">
        <v>20001000</v>
      </c>
    </row>
    <row r="411" spans="1:13">
      <c r="A411" t="s">
        <v>118</v>
      </c>
      <c r="B411" t="s">
        <v>112</v>
      </c>
      <c r="C411" t="s">
        <v>160</v>
      </c>
      <c r="D411" t="s">
        <v>287</v>
      </c>
      <c r="E411" t="s">
        <v>237</v>
      </c>
      <c r="F411" t="s">
        <v>238</v>
      </c>
      <c r="G411" t="s">
        <v>7</v>
      </c>
      <c r="H411" t="s">
        <v>217</v>
      </c>
      <c r="I411" t="s">
        <v>217</v>
      </c>
      <c r="J411" t="s">
        <v>7</v>
      </c>
      <c r="K411" t="str">
        <f t="shared" si="6"/>
        <v>00790423</v>
      </c>
      <c r="L411">
        <v>5001000</v>
      </c>
      <c r="M411">
        <v>68001000</v>
      </c>
    </row>
    <row r="412" spans="1:13">
      <c r="A412" t="s">
        <v>118</v>
      </c>
      <c r="B412" t="s">
        <v>112</v>
      </c>
      <c r="C412" t="s">
        <v>187</v>
      </c>
      <c r="D412" t="s">
        <v>299</v>
      </c>
      <c r="E412" t="s">
        <v>237</v>
      </c>
      <c r="F412" t="s">
        <v>238</v>
      </c>
      <c r="G412" t="s">
        <v>7</v>
      </c>
      <c r="H412" t="s">
        <v>217</v>
      </c>
      <c r="I412" t="s">
        <v>217</v>
      </c>
      <c r="J412" t="s">
        <v>7</v>
      </c>
      <c r="K412" t="str">
        <f t="shared" si="6"/>
        <v>00790436</v>
      </c>
      <c r="L412">
        <v>5001000</v>
      </c>
      <c r="M412">
        <v>20001000</v>
      </c>
    </row>
    <row r="413" spans="1:13">
      <c r="A413" t="s">
        <v>124</v>
      </c>
      <c r="B413" t="s">
        <v>242</v>
      </c>
      <c r="C413" t="s">
        <v>159</v>
      </c>
      <c r="D413" t="s">
        <v>279</v>
      </c>
      <c r="E413" t="s">
        <v>237</v>
      </c>
      <c r="F413" t="s">
        <v>238</v>
      </c>
      <c r="G413" t="s">
        <v>7</v>
      </c>
      <c r="H413" t="s">
        <v>217</v>
      </c>
      <c r="I413" t="s">
        <v>217</v>
      </c>
      <c r="J413" t="s">
        <v>7</v>
      </c>
      <c r="K413" t="str">
        <f t="shared" si="6"/>
        <v>00920384</v>
      </c>
      <c r="L413">
        <v>5001000</v>
      </c>
      <c r="M413">
        <v>5154000</v>
      </c>
    </row>
    <row r="414" spans="1:13">
      <c r="A414" t="s">
        <v>124</v>
      </c>
      <c r="B414" t="s">
        <v>242</v>
      </c>
      <c r="C414" t="s">
        <v>129</v>
      </c>
      <c r="D414" t="s">
        <v>280</v>
      </c>
      <c r="E414" t="s">
        <v>237</v>
      </c>
      <c r="F414" t="s">
        <v>238</v>
      </c>
      <c r="G414" t="s">
        <v>7</v>
      </c>
      <c r="H414" t="s">
        <v>217</v>
      </c>
      <c r="I414" t="s">
        <v>217</v>
      </c>
      <c r="J414" t="s">
        <v>7</v>
      </c>
      <c r="K414" t="str">
        <f t="shared" si="6"/>
        <v>00920381</v>
      </c>
      <c r="L414">
        <v>5001000</v>
      </c>
      <c r="M414">
        <v>23001000</v>
      </c>
    </row>
    <row r="415" spans="1:13">
      <c r="A415" t="s">
        <v>124</v>
      </c>
      <c r="B415" t="s">
        <v>242</v>
      </c>
      <c r="C415" t="s">
        <v>134</v>
      </c>
      <c r="D415" t="s">
        <v>281</v>
      </c>
      <c r="E415" t="s">
        <v>237</v>
      </c>
      <c r="F415" t="s">
        <v>238</v>
      </c>
      <c r="G415" t="s">
        <v>7</v>
      </c>
      <c r="H415" t="s">
        <v>217</v>
      </c>
      <c r="I415" t="s">
        <v>217</v>
      </c>
      <c r="J415" t="s">
        <v>7</v>
      </c>
      <c r="K415" t="str">
        <f t="shared" si="6"/>
        <v>00920424</v>
      </c>
      <c r="L415">
        <v>5001000</v>
      </c>
      <c r="M415">
        <v>68081000</v>
      </c>
    </row>
    <row r="416" spans="1:13">
      <c r="A416" t="s">
        <v>124</v>
      </c>
      <c r="B416" t="s">
        <v>242</v>
      </c>
      <c r="C416" t="s">
        <v>121</v>
      </c>
      <c r="D416" t="s">
        <v>282</v>
      </c>
      <c r="E416" t="s">
        <v>237</v>
      </c>
      <c r="F416" t="s">
        <v>238</v>
      </c>
      <c r="G416" t="s">
        <v>7</v>
      </c>
      <c r="H416" t="s">
        <v>217</v>
      </c>
      <c r="I416" t="s">
        <v>217</v>
      </c>
      <c r="J416" t="s">
        <v>7</v>
      </c>
      <c r="K416" t="str">
        <f t="shared" si="6"/>
        <v>00920438</v>
      </c>
      <c r="L416">
        <v>5001000</v>
      </c>
      <c r="M416">
        <v>54001000</v>
      </c>
    </row>
    <row r="417" spans="1:13">
      <c r="A417" t="s">
        <v>124</v>
      </c>
      <c r="B417" t="s">
        <v>242</v>
      </c>
      <c r="C417" t="s">
        <v>132</v>
      </c>
      <c r="D417" t="s">
        <v>255</v>
      </c>
      <c r="E417" t="s">
        <v>237</v>
      </c>
      <c r="F417" t="s">
        <v>238</v>
      </c>
      <c r="G417" t="s">
        <v>7</v>
      </c>
      <c r="H417" t="s">
        <v>217</v>
      </c>
      <c r="I417" t="s">
        <v>217</v>
      </c>
      <c r="J417" t="s">
        <v>7</v>
      </c>
      <c r="K417" t="str">
        <f t="shared" si="6"/>
        <v>00920441</v>
      </c>
      <c r="L417">
        <v>5001000</v>
      </c>
      <c r="M417">
        <v>15238000</v>
      </c>
    </row>
    <row r="418" spans="1:13">
      <c r="A418" t="s">
        <v>124</v>
      </c>
      <c r="B418" t="s">
        <v>242</v>
      </c>
      <c r="C418" t="s">
        <v>154</v>
      </c>
      <c r="D418" t="s">
        <v>283</v>
      </c>
      <c r="E418" t="s">
        <v>237</v>
      </c>
      <c r="F418" t="s">
        <v>238</v>
      </c>
      <c r="G418" t="s">
        <v>7</v>
      </c>
      <c r="H418" t="s">
        <v>217</v>
      </c>
      <c r="I418" t="s">
        <v>217</v>
      </c>
      <c r="J418" t="s">
        <v>7</v>
      </c>
      <c r="K418" t="str">
        <f t="shared" si="6"/>
        <v>00920442</v>
      </c>
      <c r="L418">
        <v>5001000</v>
      </c>
      <c r="M418">
        <v>85001000</v>
      </c>
    </row>
    <row r="419" spans="1:13">
      <c r="A419" t="s">
        <v>124</v>
      </c>
      <c r="B419" t="s">
        <v>242</v>
      </c>
      <c r="C419" t="s">
        <v>158</v>
      </c>
      <c r="D419" t="s">
        <v>284</v>
      </c>
      <c r="E419" t="s">
        <v>237</v>
      </c>
      <c r="F419" t="s">
        <v>238</v>
      </c>
      <c r="G419" t="s">
        <v>7</v>
      </c>
      <c r="H419" t="s">
        <v>217</v>
      </c>
      <c r="I419" t="s">
        <v>217</v>
      </c>
      <c r="J419" t="s">
        <v>7</v>
      </c>
      <c r="K419" t="str">
        <f t="shared" si="6"/>
        <v>00920444</v>
      </c>
      <c r="L419">
        <v>5001000</v>
      </c>
      <c r="M419">
        <v>15238000</v>
      </c>
    </row>
    <row r="420" spans="1:13">
      <c r="A420" t="s">
        <v>124</v>
      </c>
      <c r="B420" t="s">
        <v>242</v>
      </c>
      <c r="C420" t="s">
        <v>144</v>
      </c>
      <c r="D420" t="s">
        <v>285</v>
      </c>
      <c r="E420" t="s">
        <v>237</v>
      </c>
      <c r="F420" t="s">
        <v>238</v>
      </c>
      <c r="G420" t="s">
        <v>7</v>
      </c>
      <c r="H420" t="s">
        <v>217</v>
      </c>
      <c r="I420" t="s">
        <v>217</v>
      </c>
      <c r="J420" t="s">
        <v>7</v>
      </c>
      <c r="K420" t="str">
        <f t="shared" si="6"/>
        <v>00920443</v>
      </c>
      <c r="L420">
        <v>5001000</v>
      </c>
      <c r="M420">
        <v>15001000</v>
      </c>
    </row>
    <row r="421" spans="1:13">
      <c r="A421" t="s">
        <v>124</v>
      </c>
      <c r="B421" t="s">
        <v>242</v>
      </c>
      <c r="C421" t="s">
        <v>149</v>
      </c>
      <c r="D421" t="s">
        <v>286</v>
      </c>
      <c r="E421" t="s">
        <v>237</v>
      </c>
      <c r="F421" t="s">
        <v>238</v>
      </c>
      <c r="G421" t="s">
        <v>7</v>
      </c>
      <c r="H421" t="s">
        <v>217</v>
      </c>
      <c r="I421" t="s">
        <v>217</v>
      </c>
      <c r="J421" t="s">
        <v>7</v>
      </c>
      <c r="K421" t="str">
        <f t="shared" si="6"/>
        <v>00920447</v>
      </c>
      <c r="L421">
        <v>5001000</v>
      </c>
      <c r="M421">
        <v>20001000</v>
      </c>
    </row>
    <row r="422" spans="1:13">
      <c r="A422" t="s">
        <v>124</v>
      </c>
      <c r="B422" t="s">
        <v>242</v>
      </c>
      <c r="C422" t="s">
        <v>157</v>
      </c>
      <c r="D422" t="s">
        <v>288</v>
      </c>
      <c r="E422" t="s">
        <v>237</v>
      </c>
      <c r="F422" t="s">
        <v>238</v>
      </c>
      <c r="G422" t="s">
        <v>7</v>
      </c>
      <c r="H422" t="s">
        <v>217</v>
      </c>
      <c r="I422" t="s">
        <v>217</v>
      </c>
      <c r="J422" t="s">
        <v>7</v>
      </c>
      <c r="K422" t="str">
        <f t="shared" si="6"/>
        <v>00920446</v>
      </c>
      <c r="L422">
        <v>5001000</v>
      </c>
      <c r="M422">
        <v>15238000</v>
      </c>
    </row>
    <row r="423" spans="1:13">
      <c r="A423" t="s">
        <v>124</v>
      </c>
      <c r="B423" t="s">
        <v>242</v>
      </c>
      <c r="C423" t="s">
        <v>170</v>
      </c>
      <c r="D423" t="s">
        <v>270</v>
      </c>
      <c r="E423" t="s">
        <v>237</v>
      </c>
      <c r="F423" t="s">
        <v>238</v>
      </c>
      <c r="G423" t="s">
        <v>7</v>
      </c>
      <c r="H423" t="s">
        <v>217</v>
      </c>
      <c r="I423" t="s">
        <v>217</v>
      </c>
      <c r="J423" t="s">
        <v>7</v>
      </c>
      <c r="K423" t="str">
        <f t="shared" si="6"/>
        <v>00920392</v>
      </c>
      <c r="L423">
        <v>5001000</v>
      </c>
      <c r="M423">
        <v>73001000</v>
      </c>
    </row>
    <row r="424" spans="1:13">
      <c r="A424" t="s">
        <v>124</v>
      </c>
      <c r="B424" t="s">
        <v>242</v>
      </c>
      <c r="C424" t="s">
        <v>126</v>
      </c>
      <c r="D424" t="s">
        <v>267</v>
      </c>
      <c r="E424" t="s">
        <v>237</v>
      </c>
      <c r="F424" t="s">
        <v>238</v>
      </c>
      <c r="G424" t="s">
        <v>7</v>
      </c>
      <c r="H424" t="s">
        <v>217</v>
      </c>
      <c r="I424" t="s">
        <v>217</v>
      </c>
      <c r="J424" t="s">
        <v>7</v>
      </c>
      <c r="K424" t="str">
        <f t="shared" si="6"/>
        <v>00920389</v>
      </c>
      <c r="L424">
        <v>5001000</v>
      </c>
      <c r="M424">
        <v>73001000</v>
      </c>
    </row>
    <row r="425" spans="1:13">
      <c r="A425" t="s">
        <v>124</v>
      </c>
      <c r="B425" t="s">
        <v>242</v>
      </c>
      <c r="C425" t="s">
        <v>122</v>
      </c>
      <c r="D425" t="s">
        <v>289</v>
      </c>
      <c r="E425" t="s">
        <v>237</v>
      </c>
      <c r="F425" t="s">
        <v>238</v>
      </c>
      <c r="G425" t="s">
        <v>7</v>
      </c>
      <c r="H425" t="s">
        <v>217</v>
      </c>
      <c r="I425" t="s">
        <v>217</v>
      </c>
      <c r="J425" t="s">
        <v>7</v>
      </c>
      <c r="K425" t="str">
        <f t="shared" si="6"/>
        <v>00920385</v>
      </c>
      <c r="L425">
        <v>5001000</v>
      </c>
      <c r="M425">
        <v>41001000</v>
      </c>
    </row>
    <row r="426" spans="1:13">
      <c r="A426" t="s">
        <v>124</v>
      </c>
      <c r="B426" t="s">
        <v>242</v>
      </c>
      <c r="C426" t="s">
        <v>135</v>
      </c>
      <c r="D426" t="s">
        <v>290</v>
      </c>
      <c r="E426" t="s">
        <v>237</v>
      </c>
      <c r="F426" t="s">
        <v>238</v>
      </c>
      <c r="G426" t="s">
        <v>7</v>
      </c>
      <c r="H426" t="s">
        <v>217</v>
      </c>
      <c r="I426" t="s">
        <v>217</v>
      </c>
      <c r="J426" t="s">
        <v>7</v>
      </c>
      <c r="K426" t="str">
        <f t="shared" si="6"/>
        <v>00920393</v>
      </c>
      <c r="L426">
        <v>5001000</v>
      </c>
      <c r="M426">
        <v>50001000</v>
      </c>
    </row>
    <row r="427" spans="1:13">
      <c r="A427" t="s">
        <v>124</v>
      </c>
      <c r="B427" t="s">
        <v>242</v>
      </c>
      <c r="C427" t="s">
        <v>151</v>
      </c>
      <c r="D427" t="s">
        <v>271</v>
      </c>
      <c r="E427" t="s">
        <v>237</v>
      </c>
      <c r="F427" t="s">
        <v>238</v>
      </c>
      <c r="G427" t="s">
        <v>7</v>
      </c>
      <c r="H427" t="s">
        <v>217</v>
      </c>
      <c r="I427" t="s">
        <v>217</v>
      </c>
      <c r="J427" t="s">
        <v>7</v>
      </c>
      <c r="K427" t="str">
        <f t="shared" si="6"/>
        <v>00920395</v>
      </c>
      <c r="L427">
        <v>5001000</v>
      </c>
      <c r="M427">
        <v>52001000</v>
      </c>
    </row>
    <row r="428" spans="1:13">
      <c r="A428" t="s">
        <v>124</v>
      </c>
      <c r="B428" t="s">
        <v>242</v>
      </c>
      <c r="C428" t="s">
        <v>160</v>
      </c>
      <c r="D428" t="s">
        <v>287</v>
      </c>
      <c r="E428" t="s">
        <v>237</v>
      </c>
      <c r="F428" t="s">
        <v>238</v>
      </c>
      <c r="G428" t="s">
        <v>7</v>
      </c>
      <c r="H428" t="s">
        <v>217</v>
      </c>
      <c r="I428" t="s">
        <v>217</v>
      </c>
      <c r="J428" t="s">
        <v>7</v>
      </c>
      <c r="K428" t="str">
        <f t="shared" si="6"/>
        <v>00920423</v>
      </c>
      <c r="L428">
        <v>5001000</v>
      </c>
      <c r="M428">
        <v>68001000</v>
      </c>
    </row>
    <row r="429" spans="1:13">
      <c r="A429" t="s">
        <v>124</v>
      </c>
      <c r="B429" t="s">
        <v>242</v>
      </c>
      <c r="C429" t="s">
        <v>127</v>
      </c>
      <c r="D429" t="s">
        <v>268</v>
      </c>
      <c r="E429" t="s">
        <v>237</v>
      </c>
      <c r="F429" t="s">
        <v>238</v>
      </c>
      <c r="G429" t="s">
        <v>7</v>
      </c>
      <c r="H429" t="s">
        <v>217</v>
      </c>
      <c r="I429" t="s">
        <v>217</v>
      </c>
      <c r="J429" t="s">
        <v>7</v>
      </c>
      <c r="K429" t="str">
        <f t="shared" si="6"/>
        <v>00920390</v>
      </c>
      <c r="L429">
        <v>5001000</v>
      </c>
      <c r="M429">
        <v>73001000</v>
      </c>
    </row>
    <row r="430" spans="1:13">
      <c r="A430" t="s">
        <v>124</v>
      </c>
      <c r="B430" t="s">
        <v>242</v>
      </c>
      <c r="C430" t="s">
        <v>143</v>
      </c>
      <c r="D430" t="s">
        <v>266</v>
      </c>
      <c r="E430" t="s">
        <v>237</v>
      </c>
      <c r="F430" t="s">
        <v>238</v>
      </c>
      <c r="G430" t="s">
        <v>7</v>
      </c>
      <c r="H430" t="s">
        <v>217</v>
      </c>
      <c r="I430" t="s">
        <v>217</v>
      </c>
      <c r="J430" t="s">
        <v>7</v>
      </c>
      <c r="K430" t="str">
        <f t="shared" si="6"/>
        <v>00920388</v>
      </c>
      <c r="L430">
        <v>5001000</v>
      </c>
      <c r="M430">
        <v>18001000</v>
      </c>
    </row>
    <row r="431" spans="1:13">
      <c r="A431" t="s">
        <v>124</v>
      </c>
      <c r="B431" t="s">
        <v>242</v>
      </c>
      <c r="C431" t="s">
        <v>171</v>
      </c>
      <c r="D431" t="s">
        <v>269</v>
      </c>
      <c r="E431" t="s">
        <v>237</v>
      </c>
      <c r="F431" t="s">
        <v>238</v>
      </c>
      <c r="G431" t="s">
        <v>7</v>
      </c>
      <c r="H431" t="s">
        <v>217</v>
      </c>
      <c r="I431" t="s">
        <v>217</v>
      </c>
      <c r="J431" t="s">
        <v>7</v>
      </c>
      <c r="K431" t="str">
        <f t="shared" si="6"/>
        <v>00920391</v>
      </c>
      <c r="L431">
        <v>5001000</v>
      </c>
      <c r="M431">
        <v>17380000</v>
      </c>
    </row>
    <row r="432" spans="1:13">
      <c r="A432" t="s">
        <v>124</v>
      </c>
      <c r="B432" t="s">
        <v>242</v>
      </c>
      <c r="C432" t="s">
        <v>150</v>
      </c>
      <c r="D432" t="s">
        <v>256</v>
      </c>
      <c r="E432" t="s">
        <v>237</v>
      </c>
      <c r="F432" t="s">
        <v>238</v>
      </c>
      <c r="G432" t="s">
        <v>7</v>
      </c>
      <c r="H432" t="s">
        <v>217</v>
      </c>
      <c r="I432" t="s">
        <v>217</v>
      </c>
      <c r="J432" t="s">
        <v>7</v>
      </c>
      <c r="K432" t="str">
        <f t="shared" si="6"/>
        <v>00920394</v>
      </c>
      <c r="L432">
        <v>5001000</v>
      </c>
      <c r="M432">
        <v>50001000</v>
      </c>
    </row>
    <row r="433" spans="1:13">
      <c r="A433" t="s">
        <v>124</v>
      </c>
      <c r="B433" t="s">
        <v>242</v>
      </c>
      <c r="C433" t="s">
        <v>139</v>
      </c>
      <c r="D433" t="s">
        <v>273</v>
      </c>
      <c r="E433" t="s">
        <v>237</v>
      </c>
      <c r="F433" t="s">
        <v>238</v>
      </c>
      <c r="G433" t="s">
        <v>7</v>
      </c>
      <c r="H433" t="s">
        <v>217</v>
      </c>
      <c r="I433" t="s">
        <v>217</v>
      </c>
      <c r="J433" t="s">
        <v>7</v>
      </c>
      <c r="K433" t="str">
        <f t="shared" si="6"/>
        <v>00920397</v>
      </c>
      <c r="L433">
        <v>5001000</v>
      </c>
      <c r="M433">
        <v>52356000</v>
      </c>
    </row>
    <row r="434" spans="1:13">
      <c r="A434" t="s">
        <v>124</v>
      </c>
      <c r="B434" t="s">
        <v>242</v>
      </c>
      <c r="C434" t="s">
        <v>146</v>
      </c>
      <c r="D434" t="s">
        <v>272</v>
      </c>
      <c r="E434" t="s">
        <v>237</v>
      </c>
      <c r="F434" t="s">
        <v>238</v>
      </c>
      <c r="G434" t="s">
        <v>7</v>
      </c>
      <c r="H434" t="s">
        <v>217</v>
      </c>
      <c r="I434" t="s">
        <v>217</v>
      </c>
      <c r="J434" t="s">
        <v>7</v>
      </c>
      <c r="K434" t="str">
        <f t="shared" si="6"/>
        <v>00920396</v>
      </c>
      <c r="L434">
        <v>5001000</v>
      </c>
      <c r="M434">
        <v>52835000</v>
      </c>
    </row>
    <row r="435" spans="1:13">
      <c r="A435" t="s">
        <v>124</v>
      </c>
      <c r="B435" t="s">
        <v>242</v>
      </c>
      <c r="C435" t="s">
        <v>177</v>
      </c>
      <c r="D435" t="s">
        <v>264</v>
      </c>
      <c r="E435" t="s">
        <v>237</v>
      </c>
      <c r="F435" t="s">
        <v>238</v>
      </c>
      <c r="G435" t="s">
        <v>7</v>
      </c>
      <c r="H435" t="s">
        <v>217</v>
      </c>
      <c r="I435" t="s">
        <v>217</v>
      </c>
      <c r="J435" t="s">
        <v>7</v>
      </c>
      <c r="K435" t="str">
        <f t="shared" si="6"/>
        <v>00920386</v>
      </c>
      <c r="L435">
        <v>5001000</v>
      </c>
      <c r="M435">
        <v>73001000</v>
      </c>
    </row>
    <row r="436" spans="1:13">
      <c r="A436" t="s">
        <v>124</v>
      </c>
      <c r="B436" t="s">
        <v>242</v>
      </c>
      <c r="C436" t="s">
        <v>120</v>
      </c>
      <c r="D436" t="s">
        <v>292</v>
      </c>
      <c r="E436" t="s">
        <v>237</v>
      </c>
      <c r="F436" t="s">
        <v>238</v>
      </c>
      <c r="G436" t="s">
        <v>7</v>
      </c>
      <c r="H436" t="s">
        <v>217</v>
      </c>
      <c r="I436" t="s">
        <v>217</v>
      </c>
      <c r="J436" t="s">
        <v>7</v>
      </c>
      <c r="K436" t="str">
        <f t="shared" si="6"/>
        <v>00920422</v>
      </c>
      <c r="L436">
        <v>5001000</v>
      </c>
      <c r="M436">
        <v>68547000</v>
      </c>
    </row>
    <row r="437" spans="1:13">
      <c r="A437" t="s">
        <v>124</v>
      </c>
      <c r="B437" t="s">
        <v>242</v>
      </c>
      <c r="C437" t="s">
        <v>169</v>
      </c>
      <c r="D437" t="s">
        <v>291</v>
      </c>
      <c r="E437" t="s">
        <v>237</v>
      </c>
      <c r="F437" t="s">
        <v>238</v>
      </c>
      <c r="G437" t="s">
        <v>7</v>
      </c>
      <c r="H437" t="s">
        <v>217</v>
      </c>
      <c r="I437" t="s">
        <v>217</v>
      </c>
      <c r="J437" t="s">
        <v>7</v>
      </c>
      <c r="K437" t="str">
        <f t="shared" si="6"/>
        <v>00920449</v>
      </c>
      <c r="L437">
        <v>5001000</v>
      </c>
      <c r="M437">
        <v>47001000</v>
      </c>
    </row>
    <row r="438" spans="1:13">
      <c r="A438" t="s">
        <v>124</v>
      </c>
      <c r="B438" t="s">
        <v>242</v>
      </c>
      <c r="C438" t="s">
        <v>138</v>
      </c>
      <c r="D438" t="s">
        <v>265</v>
      </c>
      <c r="E438" t="s">
        <v>237</v>
      </c>
      <c r="F438" t="s">
        <v>238</v>
      </c>
      <c r="G438" t="s">
        <v>7</v>
      </c>
      <c r="H438" t="s">
        <v>217</v>
      </c>
      <c r="I438" t="s">
        <v>217</v>
      </c>
      <c r="J438" t="s">
        <v>7</v>
      </c>
      <c r="K438" t="str">
        <f t="shared" si="6"/>
        <v>00920387</v>
      </c>
      <c r="L438">
        <v>5001000</v>
      </c>
      <c r="M438">
        <v>41001000</v>
      </c>
    </row>
    <row r="439" spans="1:13">
      <c r="A439" t="s">
        <v>124</v>
      </c>
      <c r="B439" t="s">
        <v>242</v>
      </c>
      <c r="C439" t="s">
        <v>167</v>
      </c>
      <c r="D439" t="s">
        <v>298</v>
      </c>
      <c r="E439" t="s">
        <v>237</v>
      </c>
      <c r="F439" t="s">
        <v>238</v>
      </c>
      <c r="G439" t="s">
        <v>7</v>
      </c>
      <c r="H439" t="s">
        <v>217</v>
      </c>
      <c r="I439" t="s">
        <v>217</v>
      </c>
      <c r="J439" t="s">
        <v>7</v>
      </c>
      <c r="K439" t="str">
        <f t="shared" si="6"/>
        <v>00920448</v>
      </c>
      <c r="L439">
        <v>5001000</v>
      </c>
      <c r="M439">
        <v>20001000</v>
      </c>
    </row>
    <row r="440" spans="1:13">
      <c r="A440" t="s">
        <v>124</v>
      </c>
      <c r="B440" t="s">
        <v>242</v>
      </c>
      <c r="C440" t="s">
        <v>148</v>
      </c>
      <c r="D440" t="s">
        <v>294</v>
      </c>
      <c r="E440" t="s">
        <v>237</v>
      </c>
      <c r="F440" t="s">
        <v>238</v>
      </c>
      <c r="G440" t="s">
        <v>7</v>
      </c>
      <c r="H440" t="s">
        <v>217</v>
      </c>
      <c r="I440" t="s">
        <v>217</v>
      </c>
      <c r="J440" t="s">
        <v>7</v>
      </c>
      <c r="K440" t="str">
        <f t="shared" si="6"/>
        <v>00920437</v>
      </c>
      <c r="L440">
        <v>5001000</v>
      </c>
      <c r="M440">
        <v>20011000</v>
      </c>
    </row>
    <row r="441" spans="1:13">
      <c r="A441" t="s">
        <v>124</v>
      </c>
      <c r="B441" t="s">
        <v>242</v>
      </c>
      <c r="C441" t="s">
        <v>165</v>
      </c>
      <c r="D441" t="s">
        <v>295</v>
      </c>
      <c r="E441" t="s">
        <v>237</v>
      </c>
      <c r="F441" t="s">
        <v>238</v>
      </c>
      <c r="G441" t="s">
        <v>7</v>
      </c>
      <c r="H441" t="s">
        <v>217</v>
      </c>
      <c r="I441" t="s">
        <v>217</v>
      </c>
      <c r="J441" t="s">
        <v>7</v>
      </c>
      <c r="K441" t="str">
        <f t="shared" si="6"/>
        <v>00920434</v>
      </c>
      <c r="L441">
        <v>5001000</v>
      </c>
      <c r="M441">
        <v>20001000</v>
      </c>
    </row>
    <row r="442" spans="1:13">
      <c r="A442" t="s">
        <v>124</v>
      </c>
      <c r="B442" t="s">
        <v>242</v>
      </c>
      <c r="C442" t="s">
        <v>187</v>
      </c>
      <c r="D442" t="s">
        <v>299</v>
      </c>
      <c r="E442" t="s">
        <v>237</v>
      </c>
      <c r="F442" t="s">
        <v>238</v>
      </c>
      <c r="G442" t="s">
        <v>7</v>
      </c>
      <c r="H442" t="s">
        <v>217</v>
      </c>
      <c r="I442" t="s">
        <v>217</v>
      </c>
      <c r="J442" t="s">
        <v>7</v>
      </c>
      <c r="K442" t="str">
        <f t="shared" si="6"/>
        <v>00920436</v>
      </c>
      <c r="L442">
        <v>5001000</v>
      </c>
      <c r="M442">
        <v>20001000</v>
      </c>
    </row>
    <row r="443" spans="1:13">
      <c r="A443" t="s">
        <v>124</v>
      </c>
      <c r="B443" t="s">
        <v>242</v>
      </c>
      <c r="C443" t="s">
        <v>189</v>
      </c>
      <c r="D443" t="s">
        <v>296</v>
      </c>
      <c r="E443" t="s">
        <v>237</v>
      </c>
      <c r="F443" t="s">
        <v>238</v>
      </c>
      <c r="G443" t="s">
        <v>7</v>
      </c>
      <c r="H443" t="s">
        <v>217</v>
      </c>
      <c r="I443" t="s">
        <v>217</v>
      </c>
      <c r="J443" t="s">
        <v>7</v>
      </c>
      <c r="K443" t="str">
        <f t="shared" si="6"/>
        <v>00920439</v>
      </c>
      <c r="L443">
        <v>5001000</v>
      </c>
      <c r="M443">
        <v>54001000</v>
      </c>
    </row>
    <row r="444" spans="1:13">
      <c r="A444" t="s">
        <v>124</v>
      </c>
      <c r="B444" t="s">
        <v>242</v>
      </c>
      <c r="C444" t="s">
        <v>161</v>
      </c>
      <c r="D444" t="s">
        <v>293</v>
      </c>
      <c r="E444" t="s">
        <v>237</v>
      </c>
      <c r="F444" t="s">
        <v>238</v>
      </c>
      <c r="G444" t="s">
        <v>7</v>
      </c>
      <c r="H444" t="s">
        <v>217</v>
      </c>
      <c r="I444" t="s">
        <v>217</v>
      </c>
      <c r="J444" t="s">
        <v>7</v>
      </c>
      <c r="K444" t="str">
        <f t="shared" si="6"/>
        <v>00920382</v>
      </c>
      <c r="L444">
        <v>5001000</v>
      </c>
      <c r="M444">
        <v>70001000</v>
      </c>
    </row>
    <row r="445" spans="1:13">
      <c r="A445" t="s">
        <v>119</v>
      </c>
      <c r="B445" t="s">
        <v>274</v>
      </c>
      <c r="C445" t="s">
        <v>160</v>
      </c>
      <c r="D445" t="s">
        <v>287</v>
      </c>
      <c r="E445" t="s">
        <v>237</v>
      </c>
      <c r="F445" t="s">
        <v>238</v>
      </c>
      <c r="G445" t="s">
        <v>7</v>
      </c>
      <c r="H445" t="s">
        <v>217</v>
      </c>
      <c r="I445" t="s">
        <v>217</v>
      </c>
      <c r="J445" t="s">
        <v>7</v>
      </c>
      <c r="K445" t="str">
        <f t="shared" si="6"/>
        <v>01110423</v>
      </c>
      <c r="L445">
        <v>8433000</v>
      </c>
      <c r="M445">
        <v>68001000</v>
      </c>
    </row>
    <row r="446" spans="1:13">
      <c r="A446" t="s">
        <v>119</v>
      </c>
      <c r="B446" t="s">
        <v>274</v>
      </c>
      <c r="C446" t="s">
        <v>159</v>
      </c>
      <c r="D446" t="s">
        <v>279</v>
      </c>
      <c r="E446" t="s">
        <v>237</v>
      </c>
      <c r="F446" t="s">
        <v>238</v>
      </c>
      <c r="G446" t="s">
        <v>7</v>
      </c>
      <c r="H446" t="s">
        <v>217</v>
      </c>
      <c r="I446" t="s">
        <v>217</v>
      </c>
      <c r="J446" t="s">
        <v>7</v>
      </c>
      <c r="K446" t="str">
        <f t="shared" si="6"/>
        <v>01110384</v>
      </c>
      <c r="L446">
        <v>8433000</v>
      </c>
      <c r="M446">
        <v>5154000</v>
      </c>
    </row>
    <row r="447" spans="1:13">
      <c r="A447" t="s">
        <v>119</v>
      </c>
      <c r="B447" t="s">
        <v>274</v>
      </c>
      <c r="C447" t="s">
        <v>129</v>
      </c>
      <c r="D447" t="s">
        <v>280</v>
      </c>
      <c r="E447" t="s">
        <v>237</v>
      </c>
      <c r="F447" t="s">
        <v>238</v>
      </c>
      <c r="G447" t="s">
        <v>7</v>
      </c>
      <c r="H447" t="s">
        <v>217</v>
      </c>
      <c r="I447" t="s">
        <v>217</v>
      </c>
      <c r="J447" t="s">
        <v>7</v>
      </c>
      <c r="K447" t="str">
        <f t="shared" si="6"/>
        <v>01110381</v>
      </c>
      <c r="L447">
        <v>8433000</v>
      </c>
      <c r="M447">
        <v>23001000</v>
      </c>
    </row>
    <row r="448" spans="1:13">
      <c r="A448" t="s">
        <v>119</v>
      </c>
      <c r="B448" t="s">
        <v>274</v>
      </c>
      <c r="C448" t="s">
        <v>161</v>
      </c>
      <c r="D448" t="s">
        <v>293</v>
      </c>
      <c r="E448" t="s">
        <v>237</v>
      </c>
      <c r="F448" t="s">
        <v>238</v>
      </c>
      <c r="G448" t="s">
        <v>7</v>
      </c>
      <c r="H448" t="s">
        <v>217</v>
      </c>
      <c r="I448" t="s">
        <v>217</v>
      </c>
      <c r="J448" t="s">
        <v>7</v>
      </c>
      <c r="K448" t="str">
        <f t="shared" si="6"/>
        <v>01110382</v>
      </c>
      <c r="L448">
        <v>8433000</v>
      </c>
      <c r="M448">
        <v>70001000</v>
      </c>
    </row>
    <row r="449" spans="1:13">
      <c r="A449" t="s">
        <v>119</v>
      </c>
      <c r="B449" t="s">
        <v>274</v>
      </c>
      <c r="C449" t="s">
        <v>178</v>
      </c>
      <c r="D449" t="s">
        <v>297</v>
      </c>
      <c r="E449" t="s">
        <v>237</v>
      </c>
      <c r="F449" t="s">
        <v>238</v>
      </c>
      <c r="G449" t="s">
        <v>7</v>
      </c>
      <c r="H449" t="s">
        <v>217</v>
      </c>
      <c r="I449" t="s">
        <v>217</v>
      </c>
      <c r="J449" t="s">
        <v>7</v>
      </c>
      <c r="K449" t="str">
        <f t="shared" si="6"/>
        <v>01110383</v>
      </c>
      <c r="L449">
        <v>8433000</v>
      </c>
      <c r="M449">
        <v>13430000</v>
      </c>
    </row>
    <row r="450" spans="1:13">
      <c r="A450" t="s">
        <v>119</v>
      </c>
      <c r="B450" t="s">
        <v>274</v>
      </c>
      <c r="C450" t="s">
        <v>170</v>
      </c>
      <c r="D450" t="s">
        <v>270</v>
      </c>
      <c r="E450" t="s">
        <v>237</v>
      </c>
      <c r="F450" t="s">
        <v>238</v>
      </c>
      <c r="G450" t="s">
        <v>7</v>
      </c>
      <c r="H450" t="s">
        <v>217</v>
      </c>
      <c r="I450" t="s">
        <v>217</v>
      </c>
      <c r="J450" t="s">
        <v>7</v>
      </c>
      <c r="K450" t="str">
        <f t="shared" si="6"/>
        <v>01110392</v>
      </c>
      <c r="L450">
        <v>8433000</v>
      </c>
      <c r="M450">
        <v>73443000</v>
      </c>
    </row>
    <row r="451" spans="1:13">
      <c r="A451" t="s">
        <v>119</v>
      </c>
      <c r="B451" t="s">
        <v>274</v>
      </c>
      <c r="C451" t="s">
        <v>126</v>
      </c>
      <c r="D451" t="s">
        <v>267</v>
      </c>
      <c r="E451" t="s">
        <v>237</v>
      </c>
      <c r="F451" t="s">
        <v>238</v>
      </c>
      <c r="G451" t="s">
        <v>7</v>
      </c>
      <c r="H451" t="s">
        <v>217</v>
      </c>
      <c r="I451" t="s">
        <v>217</v>
      </c>
      <c r="J451" t="s">
        <v>7</v>
      </c>
      <c r="K451" t="str">
        <f t="shared" ref="K451:K514" si="7">A451&amp;C451</f>
        <v>01110389</v>
      </c>
      <c r="L451">
        <v>8433000</v>
      </c>
      <c r="M451">
        <v>73001000</v>
      </c>
    </row>
    <row r="452" spans="1:13">
      <c r="A452" t="s">
        <v>119</v>
      </c>
      <c r="B452" t="s">
        <v>274</v>
      </c>
      <c r="C452" t="s">
        <v>171</v>
      </c>
      <c r="D452" t="s">
        <v>269</v>
      </c>
      <c r="E452" t="s">
        <v>237</v>
      </c>
      <c r="F452" t="s">
        <v>238</v>
      </c>
      <c r="G452" t="s">
        <v>7</v>
      </c>
      <c r="H452" t="s">
        <v>217</v>
      </c>
      <c r="I452" t="s">
        <v>217</v>
      </c>
      <c r="J452" t="s">
        <v>7</v>
      </c>
      <c r="K452" t="str">
        <f t="shared" si="7"/>
        <v>01110391</v>
      </c>
      <c r="L452">
        <v>8433000</v>
      </c>
      <c r="M452">
        <v>17380000</v>
      </c>
    </row>
    <row r="453" spans="1:13">
      <c r="A453" t="s">
        <v>119</v>
      </c>
      <c r="B453" t="s">
        <v>274</v>
      </c>
      <c r="C453" t="s">
        <v>122</v>
      </c>
      <c r="D453" t="s">
        <v>289</v>
      </c>
      <c r="E453" t="s">
        <v>237</v>
      </c>
      <c r="F453" t="s">
        <v>238</v>
      </c>
      <c r="G453" t="s">
        <v>7</v>
      </c>
      <c r="H453" t="s">
        <v>217</v>
      </c>
      <c r="I453" t="s">
        <v>217</v>
      </c>
      <c r="J453" t="s">
        <v>7</v>
      </c>
      <c r="K453" t="str">
        <f t="shared" si="7"/>
        <v>01110385</v>
      </c>
      <c r="L453">
        <v>8433000</v>
      </c>
      <c r="M453">
        <v>41001000</v>
      </c>
    </row>
    <row r="454" spans="1:13">
      <c r="A454" t="s">
        <v>119</v>
      </c>
      <c r="B454" t="s">
        <v>274</v>
      </c>
      <c r="C454" t="s">
        <v>127</v>
      </c>
      <c r="D454" t="s">
        <v>268</v>
      </c>
      <c r="E454" t="s">
        <v>237</v>
      </c>
      <c r="F454" t="s">
        <v>238</v>
      </c>
      <c r="G454" t="s">
        <v>7</v>
      </c>
      <c r="H454" t="s">
        <v>217</v>
      </c>
      <c r="I454" t="s">
        <v>217</v>
      </c>
      <c r="J454" t="s">
        <v>7</v>
      </c>
      <c r="K454" t="str">
        <f t="shared" si="7"/>
        <v>01110390</v>
      </c>
      <c r="L454">
        <v>8433000</v>
      </c>
      <c r="M454">
        <v>73001000</v>
      </c>
    </row>
    <row r="455" spans="1:13">
      <c r="A455" t="s">
        <v>119</v>
      </c>
      <c r="B455" t="s">
        <v>274</v>
      </c>
      <c r="C455" t="s">
        <v>143</v>
      </c>
      <c r="D455" t="s">
        <v>266</v>
      </c>
      <c r="E455" t="s">
        <v>237</v>
      </c>
      <c r="F455" t="s">
        <v>238</v>
      </c>
      <c r="G455" t="s">
        <v>7</v>
      </c>
      <c r="H455" t="s">
        <v>217</v>
      </c>
      <c r="I455" t="s">
        <v>217</v>
      </c>
      <c r="J455" t="s">
        <v>7</v>
      </c>
      <c r="K455" t="str">
        <f t="shared" si="7"/>
        <v>01110388</v>
      </c>
      <c r="L455">
        <v>8433000</v>
      </c>
      <c r="M455">
        <v>18001000</v>
      </c>
    </row>
    <row r="456" spans="1:13">
      <c r="A456" t="s">
        <v>119</v>
      </c>
      <c r="B456" t="s">
        <v>274</v>
      </c>
      <c r="C456" t="s">
        <v>177</v>
      </c>
      <c r="D456" t="s">
        <v>264</v>
      </c>
      <c r="E456" t="s">
        <v>237</v>
      </c>
      <c r="F456" t="s">
        <v>238</v>
      </c>
      <c r="G456" t="s">
        <v>7</v>
      </c>
      <c r="H456" t="s">
        <v>217</v>
      </c>
      <c r="I456" t="s">
        <v>217</v>
      </c>
      <c r="J456" t="s">
        <v>7</v>
      </c>
      <c r="K456" t="str">
        <f t="shared" si="7"/>
        <v>01110386</v>
      </c>
      <c r="L456">
        <v>8433000</v>
      </c>
      <c r="M456">
        <v>73001000</v>
      </c>
    </row>
    <row r="457" spans="1:13">
      <c r="A457" t="s">
        <v>119</v>
      </c>
      <c r="B457" t="s">
        <v>274</v>
      </c>
      <c r="C457" t="s">
        <v>135</v>
      </c>
      <c r="D457" t="s">
        <v>290</v>
      </c>
      <c r="E457" t="s">
        <v>237</v>
      </c>
      <c r="F457" t="s">
        <v>238</v>
      </c>
      <c r="G457" t="s">
        <v>7</v>
      </c>
      <c r="H457" t="s">
        <v>217</v>
      </c>
      <c r="I457" t="s">
        <v>217</v>
      </c>
      <c r="J457" t="s">
        <v>7</v>
      </c>
      <c r="K457" t="str">
        <f t="shared" si="7"/>
        <v>01110393</v>
      </c>
      <c r="L457">
        <v>8433000</v>
      </c>
      <c r="M457">
        <v>50001000</v>
      </c>
    </row>
    <row r="458" spans="1:13">
      <c r="A458" t="s">
        <v>119</v>
      </c>
      <c r="B458" t="s">
        <v>274</v>
      </c>
      <c r="C458" t="s">
        <v>150</v>
      </c>
      <c r="D458" t="s">
        <v>256</v>
      </c>
      <c r="E458" t="s">
        <v>237</v>
      </c>
      <c r="F458" t="s">
        <v>238</v>
      </c>
      <c r="G458" t="s">
        <v>7</v>
      </c>
      <c r="H458" t="s">
        <v>217</v>
      </c>
      <c r="I458" t="s">
        <v>217</v>
      </c>
      <c r="J458" t="s">
        <v>7</v>
      </c>
      <c r="K458" t="str">
        <f t="shared" si="7"/>
        <v>01110394</v>
      </c>
      <c r="L458">
        <v>8433000</v>
      </c>
      <c r="M458">
        <v>50001000</v>
      </c>
    </row>
    <row r="459" spans="1:13">
      <c r="A459" t="s">
        <v>119</v>
      </c>
      <c r="B459" t="s">
        <v>274</v>
      </c>
      <c r="C459" t="s">
        <v>151</v>
      </c>
      <c r="D459" t="s">
        <v>271</v>
      </c>
      <c r="E459" t="s">
        <v>237</v>
      </c>
      <c r="F459" t="s">
        <v>238</v>
      </c>
      <c r="G459" t="s">
        <v>7</v>
      </c>
      <c r="H459" t="s">
        <v>217</v>
      </c>
      <c r="I459" t="s">
        <v>217</v>
      </c>
      <c r="J459" t="s">
        <v>7</v>
      </c>
      <c r="K459" t="str">
        <f t="shared" si="7"/>
        <v>01110395</v>
      </c>
      <c r="L459">
        <v>8433000</v>
      </c>
      <c r="M459">
        <v>52001000</v>
      </c>
    </row>
    <row r="460" spans="1:13">
      <c r="A460" t="s">
        <v>119</v>
      </c>
      <c r="B460" t="s">
        <v>274</v>
      </c>
      <c r="C460" t="s">
        <v>139</v>
      </c>
      <c r="D460" t="s">
        <v>273</v>
      </c>
      <c r="E460" t="s">
        <v>237</v>
      </c>
      <c r="F460" t="s">
        <v>238</v>
      </c>
      <c r="G460" t="s">
        <v>7</v>
      </c>
      <c r="H460" t="s">
        <v>217</v>
      </c>
      <c r="I460" t="s">
        <v>217</v>
      </c>
      <c r="J460" t="s">
        <v>7</v>
      </c>
      <c r="K460" t="str">
        <f t="shared" si="7"/>
        <v>01110397</v>
      </c>
      <c r="L460">
        <v>8433000</v>
      </c>
      <c r="M460">
        <v>52356000</v>
      </c>
    </row>
    <row r="461" spans="1:13">
      <c r="A461" t="s">
        <v>119</v>
      </c>
      <c r="B461" t="s">
        <v>274</v>
      </c>
      <c r="C461" t="s">
        <v>146</v>
      </c>
      <c r="D461" t="s">
        <v>272</v>
      </c>
      <c r="E461" t="s">
        <v>237</v>
      </c>
      <c r="F461" t="s">
        <v>238</v>
      </c>
      <c r="G461" t="s">
        <v>7</v>
      </c>
      <c r="H461" t="s">
        <v>217</v>
      </c>
      <c r="I461" t="s">
        <v>217</v>
      </c>
      <c r="J461" t="s">
        <v>7</v>
      </c>
      <c r="K461" t="str">
        <f t="shared" si="7"/>
        <v>01110396</v>
      </c>
      <c r="L461">
        <v>8433000</v>
      </c>
      <c r="M461">
        <v>52835000</v>
      </c>
    </row>
    <row r="462" spans="1:13">
      <c r="A462" t="s">
        <v>119</v>
      </c>
      <c r="B462" t="s">
        <v>274</v>
      </c>
      <c r="C462" t="s">
        <v>134</v>
      </c>
      <c r="D462" t="s">
        <v>281</v>
      </c>
      <c r="E462" t="s">
        <v>237</v>
      </c>
      <c r="F462" t="s">
        <v>238</v>
      </c>
      <c r="G462" t="s">
        <v>7</v>
      </c>
      <c r="H462" t="s">
        <v>217</v>
      </c>
      <c r="I462" t="s">
        <v>217</v>
      </c>
      <c r="J462" t="s">
        <v>7</v>
      </c>
      <c r="K462" t="str">
        <f t="shared" si="7"/>
        <v>01110424</v>
      </c>
      <c r="L462">
        <v>8433000</v>
      </c>
      <c r="M462">
        <v>68081000</v>
      </c>
    </row>
    <row r="463" spans="1:13">
      <c r="A463" t="s">
        <v>119</v>
      </c>
      <c r="B463" t="s">
        <v>274</v>
      </c>
      <c r="C463" t="s">
        <v>173</v>
      </c>
      <c r="D463" t="s">
        <v>300</v>
      </c>
      <c r="E463" t="s">
        <v>237</v>
      </c>
      <c r="F463" t="s">
        <v>238</v>
      </c>
      <c r="G463" t="s">
        <v>7</v>
      </c>
      <c r="H463" t="s">
        <v>217</v>
      </c>
      <c r="I463" t="s">
        <v>217</v>
      </c>
      <c r="J463" t="s">
        <v>7</v>
      </c>
      <c r="K463" t="str">
        <f t="shared" si="7"/>
        <v>01110433</v>
      </c>
      <c r="L463">
        <v>8433000</v>
      </c>
      <c r="M463">
        <v>5579000</v>
      </c>
    </row>
    <row r="464" spans="1:13">
      <c r="A464" t="s">
        <v>119</v>
      </c>
      <c r="B464" t="s">
        <v>274</v>
      </c>
      <c r="C464" t="s">
        <v>148</v>
      </c>
      <c r="D464" t="s">
        <v>294</v>
      </c>
      <c r="E464" t="s">
        <v>237</v>
      </c>
      <c r="F464" t="s">
        <v>238</v>
      </c>
      <c r="G464" t="s">
        <v>7</v>
      </c>
      <c r="H464" t="s">
        <v>217</v>
      </c>
      <c r="I464" t="s">
        <v>217</v>
      </c>
      <c r="J464" t="s">
        <v>7</v>
      </c>
      <c r="K464" t="str">
        <f t="shared" si="7"/>
        <v>01110437</v>
      </c>
      <c r="L464">
        <v>8433000</v>
      </c>
      <c r="M464">
        <v>20011000</v>
      </c>
    </row>
    <row r="465" spans="1:13">
      <c r="A465" t="s">
        <v>119</v>
      </c>
      <c r="B465" t="s">
        <v>274</v>
      </c>
      <c r="C465" t="s">
        <v>187</v>
      </c>
      <c r="D465" t="s">
        <v>299</v>
      </c>
      <c r="E465" t="s">
        <v>237</v>
      </c>
      <c r="F465" t="s">
        <v>238</v>
      </c>
      <c r="G465" t="s">
        <v>7</v>
      </c>
      <c r="H465" t="s">
        <v>217</v>
      </c>
      <c r="I465" t="s">
        <v>217</v>
      </c>
      <c r="J465" t="s">
        <v>7</v>
      </c>
      <c r="K465" t="str">
        <f t="shared" si="7"/>
        <v>01110436</v>
      </c>
      <c r="L465">
        <v>8433000</v>
      </c>
      <c r="M465">
        <v>47245000</v>
      </c>
    </row>
    <row r="466" spans="1:13">
      <c r="A466" t="s">
        <v>119</v>
      </c>
      <c r="B466" t="s">
        <v>274</v>
      </c>
      <c r="C466" t="s">
        <v>165</v>
      </c>
      <c r="D466" t="s">
        <v>295</v>
      </c>
      <c r="E466" t="s">
        <v>237</v>
      </c>
      <c r="F466" t="s">
        <v>238</v>
      </c>
      <c r="G466" t="s">
        <v>7</v>
      </c>
      <c r="H466" t="s">
        <v>217</v>
      </c>
      <c r="I466" t="s">
        <v>217</v>
      </c>
      <c r="J466" t="s">
        <v>7</v>
      </c>
      <c r="K466" t="str">
        <f t="shared" si="7"/>
        <v>01110434</v>
      </c>
      <c r="L466">
        <v>8433000</v>
      </c>
      <c r="M466">
        <v>54498000</v>
      </c>
    </row>
    <row r="467" spans="1:13">
      <c r="A467" t="s">
        <v>119</v>
      </c>
      <c r="B467" t="s">
        <v>274</v>
      </c>
      <c r="C467" t="s">
        <v>121</v>
      </c>
      <c r="D467" t="s">
        <v>282</v>
      </c>
      <c r="E467" t="s">
        <v>237</v>
      </c>
      <c r="F467" t="s">
        <v>238</v>
      </c>
      <c r="G467" t="s">
        <v>7</v>
      </c>
      <c r="H467" t="s">
        <v>217</v>
      </c>
      <c r="I467" t="s">
        <v>217</v>
      </c>
      <c r="J467" t="s">
        <v>7</v>
      </c>
      <c r="K467" t="str">
        <f t="shared" si="7"/>
        <v>01110438</v>
      </c>
      <c r="L467">
        <v>8433000</v>
      </c>
      <c r="M467">
        <v>54001000</v>
      </c>
    </row>
    <row r="468" spans="1:13">
      <c r="A468" t="s">
        <v>119</v>
      </c>
      <c r="B468" t="s">
        <v>274</v>
      </c>
      <c r="C468" t="s">
        <v>189</v>
      </c>
      <c r="D468" t="s">
        <v>296</v>
      </c>
      <c r="E468" t="s">
        <v>237</v>
      </c>
      <c r="F468" t="s">
        <v>238</v>
      </c>
      <c r="G468" t="s">
        <v>7</v>
      </c>
      <c r="H468" t="s">
        <v>217</v>
      </c>
      <c r="I468" t="s">
        <v>217</v>
      </c>
      <c r="J468" t="s">
        <v>7</v>
      </c>
      <c r="K468" t="str">
        <f t="shared" si="7"/>
        <v>01110439</v>
      </c>
      <c r="L468">
        <v>8433000</v>
      </c>
      <c r="M468">
        <v>54001000</v>
      </c>
    </row>
    <row r="469" spans="1:13">
      <c r="A469" t="s">
        <v>119</v>
      </c>
      <c r="B469" t="s">
        <v>274</v>
      </c>
      <c r="C469" t="s">
        <v>132</v>
      </c>
      <c r="D469" t="s">
        <v>255</v>
      </c>
      <c r="E469" t="s">
        <v>237</v>
      </c>
      <c r="F469" t="s">
        <v>238</v>
      </c>
      <c r="G469" t="s">
        <v>7</v>
      </c>
      <c r="H469" t="s">
        <v>217</v>
      </c>
      <c r="I469" t="s">
        <v>217</v>
      </c>
      <c r="J469" t="s">
        <v>7</v>
      </c>
      <c r="K469" t="str">
        <f t="shared" si="7"/>
        <v>01110441</v>
      </c>
      <c r="L469">
        <v>8433000</v>
      </c>
      <c r="M469">
        <v>15238000</v>
      </c>
    </row>
    <row r="470" spans="1:13">
      <c r="A470" t="s">
        <v>119</v>
      </c>
      <c r="B470" t="s">
        <v>274</v>
      </c>
      <c r="C470" t="s">
        <v>154</v>
      </c>
      <c r="D470" t="s">
        <v>283</v>
      </c>
      <c r="E470" t="s">
        <v>237</v>
      </c>
      <c r="F470" t="s">
        <v>238</v>
      </c>
      <c r="G470" t="s">
        <v>7</v>
      </c>
      <c r="H470" t="s">
        <v>217</v>
      </c>
      <c r="I470" t="s">
        <v>217</v>
      </c>
      <c r="J470" t="s">
        <v>7</v>
      </c>
      <c r="K470" t="str">
        <f t="shared" si="7"/>
        <v>01110442</v>
      </c>
      <c r="L470">
        <v>8433000</v>
      </c>
      <c r="M470">
        <v>85001000</v>
      </c>
    </row>
    <row r="471" spans="1:13">
      <c r="A471" t="s">
        <v>119</v>
      </c>
      <c r="B471" t="s">
        <v>274</v>
      </c>
      <c r="C471" t="s">
        <v>158</v>
      </c>
      <c r="D471" t="s">
        <v>284</v>
      </c>
      <c r="E471" t="s">
        <v>237</v>
      </c>
      <c r="F471" t="s">
        <v>238</v>
      </c>
      <c r="G471" t="s">
        <v>7</v>
      </c>
      <c r="H471" t="s">
        <v>217</v>
      </c>
      <c r="I471" t="s">
        <v>217</v>
      </c>
      <c r="J471" t="s">
        <v>7</v>
      </c>
      <c r="K471" t="str">
        <f t="shared" si="7"/>
        <v>01110444</v>
      </c>
      <c r="L471">
        <v>8433000</v>
      </c>
      <c r="M471">
        <v>15238000</v>
      </c>
    </row>
    <row r="472" spans="1:13">
      <c r="A472" t="s">
        <v>119</v>
      </c>
      <c r="B472" t="s">
        <v>274</v>
      </c>
      <c r="C472" t="s">
        <v>157</v>
      </c>
      <c r="D472" t="s">
        <v>288</v>
      </c>
      <c r="E472" t="s">
        <v>237</v>
      </c>
      <c r="F472" t="s">
        <v>238</v>
      </c>
      <c r="G472" t="s">
        <v>7</v>
      </c>
      <c r="H472" t="s">
        <v>217</v>
      </c>
      <c r="I472" t="s">
        <v>217</v>
      </c>
      <c r="J472" t="s">
        <v>7</v>
      </c>
      <c r="K472" t="str">
        <f t="shared" si="7"/>
        <v>01110446</v>
      </c>
      <c r="L472">
        <v>8433000</v>
      </c>
      <c r="M472">
        <v>15238000</v>
      </c>
    </row>
    <row r="473" spans="1:13">
      <c r="A473" t="s">
        <v>119</v>
      </c>
      <c r="B473" t="s">
        <v>274</v>
      </c>
      <c r="C473" t="s">
        <v>144</v>
      </c>
      <c r="D473" t="s">
        <v>285</v>
      </c>
      <c r="E473" t="s">
        <v>237</v>
      </c>
      <c r="F473" t="s">
        <v>238</v>
      </c>
      <c r="G473" t="s">
        <v>7</v>
      </c>
      <c r="H473" t="s">
        <v>217</v>
      </c>
      <c r="I473" t="s">
        <v>217</v>
      </c>
      <c r="J473" t="s">
        <v>7</v>
      </c>
      <c r="K473" t="str">
        <f t="shared" si="7"/>
        <v>01110443</v>
      </c>
      <c r="L473">
        <v>8433000</v>
      </c>
      <c r="M473">
        <v>15001000</v>
      </c>
    </row>
    <row r="474" spans="1:13">
      <c r="A474" t="s">
        <v>119</v>
      </c>
      <c r="B474" t="s">
        <v>274</v>
      </c>
      <c r="C474" t="s">
        <v>149</v>
      </c>
      <c r="D474" t="s">
        <v>286</v>
      </c>
      <c r="E474" t="s">
        <v>237</v>
      </c>
      <c r="F474" t="s">
        <v>238</v>
      </c>
      <c r="G474" t="s">
        <v>7</v>
      </c>
      <c r="H474" t="s">
        <v>217</v>
      </c>
      <c r="I474" t="s">
        <v>217</v>
      </c>
      <c r="J474" t="s">
        <v>7</v>
      </c>
      <c r="K474" t="str">
        <f t="shared" si="7"/>
        <v>01110447</v>
      </c>
      <c r="L474">
        <v>8433000</v>
      </c>
      <c r="M474">
        <v>20001000</v>
      </c>
    </row>
    <row r="475" spans="1:13">
      <c r="A475" t="s">
        <v>119</v>
      </c>
      <c r="B475" t="s">
        <v>274</v>
      </c>
      <c r="C475" t="s">
        <v>169</v>
      </c>
      <c r="D475" t="s">
        <v>291</v>
      </c>
      <c r="E475" t="s">
        <v>237</v>
      </c>
      <c r="F475" t="s">
        <v>238</v>
      </c>
      <c r="G475" t="s">
        <v>7</v>
      </c>
      <c r="H475" t="s">
        <v>217</v>
      </c>
      <c r="I475" t="s">
        <v>217</v>
      </c>
      <c r="J475" t="s">
        <v>7</v>
      </c>
      <c r="K475" t="str">
        <f t="shared" si="7"/>
        <v>01110449</v>
      </c>
      <c r="L475">
        <v>8433000</v>
      </c>
      <c r="M475">
        <v>20060000</v>
      </c>
    </row>
    <row r="476" spans="1:13">
      <c r="A476" t="s">
        <v>119</v>
      </c>
      <c r="B476" t="s">
        <v>274</v>
      </c>
      <c r="C476" t="s">
        <v>167</v>
      </c>
      <c r="D476" t="s">
        <v>298</v>
      </c>
      <c r="E476" t="s">
        <v>237</v>
      </c>
      <c r="F476" t="s">
        <v>238</v>
      </c>
      <c r="G476" t="s">
        <v>7</v>
      </c>
      <c r="H476" t="s">
        <v>217</v>
      </c>
      <c r="I476" t="s">
        <v>217</v>
      </c>
      <c r="J476" t="s">
        <v>7</v>
      </c>
      <c r="K476" t="str">
        <f t="shared" si="7"/>
        <v>01110448</v>
      </c>
      <c r="L476">
        <v>8433000</v>
      </c>
      <c r="M476">
        <v>44279000</v>
      </c>
    </row>
    <row r="477" spans="1:13">
      <c r="A477" t="s">
        <v>119</v>
      </c>
      <c r="B477" t="s">
        <v>274</v>
      </c>
      <c r="C477" t="s">
        <v>120</v>
      </c>
      <c r="D477" t="s">
        <v>292</v>
      </c>
      <c r="E477" t="s">
        <v>237</v>
      </c>
      <c r="F477" t="s">
        <v>238</v>
      </c>
      <c r="G477" t="s">
        <v>7</v>
      </c>
      <c r="H477" t="s">
        <v>217</v>
      </c>
      <c r="I477" t="s">
        <v>217</v>
      </c>
      <c r="J477" t="s">
        <v>7</v>
      </c>
      <c r="K477" t="str">
        <f t="shared" si="7"/>
        <v>01110422</v>
      </c>
      <c r="L477">
        <v>8433000</v>
      </c>
      <c r="M477">
        <v>68547000</v>
      </c>
    </row>
    <row r="478" spans="1:13">
      <c r="A478" t="s">
        <v>119</v>
      </c>
      <c r="B478" t="s">
        <v>274</v>
      </c>
      <c r="C478" t="s">
        <v>138</v>
      </c>
      <c r="D478" t="s">
        <v>265</v>
      </c>
      <c r="E478" t="s">
        <v>237</v>
      </c>
      <c r="F478" t="s">
        <v>238</v>
      </c>
      <c r="G478" t="s">
        <v>7</v>
      </c>
      <c r="H478" t="s">
        <v>217</v>
      </c>
      <c r="I478" t="s">
        <v>217</v>
      </c>
      <c r="J478" t="s">
        <v>7</v>
      </c>
      <c r="K478" t="str">
        <f t="shared" si="7"/>
        <v>01110387</v>
      </c>
      <c r="L478">
        <v>8433000</v>
      </c>
      <c r="M478">
        <v>41001000</v>
      </c>
    </row>
    <row r="479" spans="1:13">
      <c r="A479" t="s">
        <v>140</v>
      </c>
      <c r="B479" t="s">
        <v>243</v>
      </c>
      <c r="C479" t="s">
        <v>159</v>
      </c>
      <c r="D479" t="s">
        <v>279</v>
      </c>
      <c r="E479" t="s">
        <v>237</v>
      </c>
      <c r="F479" t="s">
        <v>238</v>
      </c>
      <c r="G479" t="s">
        <v>7</v>
      </c>
      <c r="H479" t="s">
        <v>217</v>
      </c>
      <c r="I479" t="s">
        <v>217</v>
      </c>
      <c r="J479" t="s">
        <v>7</v>
      </c>
      <c r="K479" t="str">
        <f t="shared" si="7"/>
        <v>01130384</v>
      </c>
      <c r="L479">
        <v>13001000</v>
      </c>
      <c r="M479">
        <v>5154000</v>
      </c>
    </row>
    <row r="480" spans="1:13">
      <c r="A480" t="s">
        <v>140</v>
      </c>
      <c r="B480" t="s">
        <v>243</v>
      </c>
      <c r="C480" t="s">
        <v>129</v>
      </c>
      <c r="D480" t="s">
        <v>280</v>
      </c>
      <c r="E480" t="s">
        <v>237</v>
      </c>
      <c r="F480" t="s">
        <v>238</v>
      </c>
      <c r="G480" t="s">
        <v>7</v>
      </c>
      <c r="H480" t="s">
        <v>217</v>
      </c>
      <c r="I480" t="s">
        <v>217</v>
      </c>
      <c r="J480" t="s">
        <v>7</v>
      </c>
      <c r="K480" t="str">
        <f t="shared" si="7"/>
        <v>01130381</v>
      </c>
      <c r="L480">
        <v>13001000</v>
      </c>
      <c r="M480">
        <v>23001000</v>
      </c>
    </row>
    <row r="481" spans="1:13">
      <c r="A481" t="s">
        <v>140</v>
      </c>
      <c r="B481" t="s">
        <v>243</v>
      </c>
      <c r="C481" t="s">
        <v>134</v>
      </c>
      <c r="D481" t="s">
        <v>281</v>
      </c>
      <c r="E481" t="s">
        <v>237</v>
      </c>
      <c r="F481" t="s">
        <v>238</v>
      </c>
      <c r="G481" t="s">
        <v>7</v>
      </c>
      <c r="H481" t="s">
        <v>217</v>
      </c>
      <c r="I481" t="s">
        <v>217</v>
      </c>
      <c r="J481" t="s">
        <v>7</v>
      </c>
      <c r="K481" t="str">
        <f t="shared" si="7"/>
        <v>01130424</v>
      </c>
      <c r="L481">
        <v>13001000</v>
      </c>
      <c r="M481">
        <v>68081000</v>
      </c>
    </row>
    <row r="482" spans="1:13">
      <c r="A482" t="s">
        <v>140</v>
      </c>
      <c r="B482" t="s">
        <v>243</v>
      </c>
      <c r="C482" t="s">
        <v>121</v>
      </c>
      <c r="D482" t="s">
        <v>282</v>
      </c>
      <c r="E482" t="s">
        <v>237</v>
      </c>
      <c r="F482" t="s">
        <v>238</v>
      </c>
      <c r="G482" t="s">
        <v>7</v>
      </c>
      <c r="H482" t="s">
        <v>217</v>
      </c>
      <c r="I482" t="s">
        <v>217</v>
      </c>
      <c r="J482" t="s">
        <v>7</v>
      </c>
      <c r="K482" t="str">
        <f t="shared" si="7"/>
        <v>01130438</v>
      </c>
      <c r="L482">
        <v>13001000</v>
      </c>
      <c r="M482">
        <v>54001000</v>
      </c>
    </row>
    <row r="483" spans="1:13">
      <c r="A483" t="s">
        <v>140</v>
      </c>
      <c r="B483" t="s">
        <v>243</v>
      </c>
      <c r="C483" t="s">
        <v>149</v>
      </c>
      <c r="D483" t="s">
        <v>286</v>
      </c>
      <c r="E483" t="s">
        <v>237</v>
      </c>
      <c r="F483" t="s">
        <v>238</v>
      </c>
      <c r="G483" t="s">
        <v>7</v>
      </c>
      <c r="H483" t="s">
        <v>217</v>
      </c>
      <c r="I483" t="s">
        <v>217</v>
      </c>
      <c r="J483" t="s">
        <v>7</v>
      </c>
      <c r="K483" t="str">
        <f t="shared" si="7"/>
        <v>01130447</v>
      </c>
      <c r="L483">
        <v>13001000</v>
      </c>
      <c r="M483">
        <v>20001000</v>
      </c>
    </row>
    <row r="484" spans="1:13">
      <c r="A484" t="s">
        <v>140</v>
      </c>
      <c r="B484" t="s">
        <v>243</v>
      </c>
      <c r="C484" t="s">
        <v>122</v>
      </c>
      <c r="D484" t="s">
        <v>289</v>
      </c>
      <c r="E484" t="s">
        <v>237</v>
      </c>
      <c r="F484" t="s">
        <v>238</v>
      </c>
      <c r="G484" t="s">
        <v>7</v>
      </c>
      <c r="H484" t="s">
        <v>217</v>
      </c>
      <c r="I484" t="s">
        <v>217</v>
      </c>
      <c r="J484" t="s">
        <v>7</v>
      </c>
      <c r="K484" t="str">
        <f t="shared" si="7"/>
        <v>01130385</v>
      </c>
      <c r="L484">
        <v>13001000</v>
      </c>
      <c r="M484">
        <v>41001000</v>
      </c>
    </row>
    <row r="485" spans="1:13">
      <c r="A485" t="s">
        <v>140</v>
      </c>
      <c r="B485" t="s">
        <v>243</v>
      </c>
      <c r="C485" t="s">
        <v>120</v>
      </c>
      <c r="D485" t="s">
        <v>292</v>
      </c>
      <c r="E485" t="s">
        <v>237</v>
      </c>
      <c r="F485" t="s">
        <v>238</v>
      </c>
      <c r="G485" t="s">
        <v>7</v>
      </c>
      <c r="H485" t="s">
        <v>217</v>
      </c>
      <c r="I485" t="s">
        <v>217</v>
      </c>
      <c r="J485" t="s">
        <v>7</v>
      </c>
      <c r="K485" t="str">
        <f t="shared" si="7"/>
        <v>01130422</v>
      </c>
      <c r="L485">
        <v>13001000</v>
      </c>
      <c r="M485">
        <v>68547000</v>
      </c>
    </row>
    <row r="486" spans="1:13">
      <c r="A486" t="s">
        <v>140</v>
      </c>
      <c r="B486" t="s">
        <v>243</v>
      </c>
      <c r="C486" t="s">
        <v>132</v>
      </c>
      <c r="D486" t="s">
        <v>255</v>
      </c>
      <c r="E486" t="s">
        <v>237</v>
      </c>
      <c r="F486" t="s">
        <v>238</v>
      </c>
      <c r="G486" t="s">
        <v>7</v>
      </c>
      <c r="H486" t="s">
        <v>217</v>
      </c>
      <c r="I486" t="s">
        <v>217</v>
      </c>
      <c r="J486" t="s">
        <v>7</v>
      </c>
      <c r="K486" t="str">
        <f t="shared" si="7"/>
        <v>01130441</v>
      </c>
      <c r="L486">
        <v>13001000</v>
      </c>
      <c r="M486">
        <v>15238000</v>
      </c>
    </row>
    <row r="487" spans="1:13">
      <c r="A487" t="s">
        <v>140</v>
      </c>
      <c r="B487" t="s">
        <v>243</v>
      </c>
      <c r="C487" t="s">
        <v>171</v>
      </c>
      <c r="D487" t="s">
        <v>269</v>
      </c>
      <c r="E487" t="s">
        <v>237</v>
      </c>
      <c r="F487" t="s">
        <v>238</v>
      </c>
      <c r="G487" t="s">
        <v>7</v>
      </c>
      <c r="H487" t="s">
        <v>217</v>
      </c>
      <c r="I487" t="s">
        <v>217</v>
      </c>
      <c r="J487" t="s">
        <v>7</v>
      </c>
      <c r="K487" t="str">
        <f t="shared" si="7"/>
        <v>01130391</v>
      </c>
      <c r="L487">
        <v>13001000</v>
      </c>
      <c r="M487">
        <v>17380000</v>
      </c>
    </row>
    <row r="488" spans="1:13">
      <c r="A488" t="s">
        <v>140</v>
      </c>
      <c r="B488" t="s">
        <v>243</v>
      </c>
      <c r="C488" t="s">
        <v>148</v>
      </c>
      <c r="D488" t="s">
        <v>294</v>
      </c>
      <c r="E488" t="s">
        <v>237</v>
      </c>
      <c r="F488" t="s">
        <v>238</v>
      </c>
      <c r="G488" t="s">
        <v>7</v>
      </c>
      <c r="H488" t="s">
        <v>217</v>
      </c>
      <c r="I488" t="s">
        <v>217</v>
      </c>
      <c r="J488" t="s">
        <v>7</v>
      </c>
      <c r="K488" t="str">
        <f t="shared" si="7"/>
        <v>01130437</v>
      </c>
      <c r="L488">
        <v>13001000</v>
      </c>
      <c r="M488">
        <v>20011000</v>
      </c>
    </row>
    <row r="489" spans="1:13">
      <c r="A489" t="s">
        <v>140</v>
      </c>
      <c r="B489" t="s">
        <v>243</v>
      </c>
      <c r="C489" t="s">
        <v>189</v>
      </c>
      <c r="D489" t="s">
        <v>296</v>
      </c>
      <c r="E489" t="s">
        <v>237</v>
      </c>
      <c r="F489" t="s">
        <v>238</v>
      </c>
      <c r="G489" t="s">
        <v>7</v>
      </c>
      <c r="H489" t="s">
        <v>217</v>
      </c>
      <c r="I489" t="s">
        <v>217</v>
      </c>
      <c r="J489" t="s">
        <v>7</v>
      </c>
      <c r="K489" t="str">
        <f t="shared" si="7"/>
        <v>01130439</v>
      </c>
      <c r="L489">
        <v>13001000</v>
      </c>
      <c r="M489">
        <v>54001000</v>
      </c>
    </row>
    <row r="490" spans="1:13">
      <c r="A490" t="s">
        <v>140</v>
      </c>
      <c r="B490" t="s">
        <v>243</v>
      </c>
      <c r="C490" t="s">
        <v>150</v>
      </c>
      <c r="D490" t="s">
        <v>256</v>
      </c>
      <c r="E490" t="s">
        <v>237</v>
      </c>
      <c r="F490" t="s">
        <v>238</v>
      </c>
      <c r="G490" t="s">
        <v>7</v>
      </c>
      <c r="H490" t="s">
        <v>217</v>
      </c>
      <c r="I490" t="s">
        <v>217</v>
      </c>
      <c r="J490" t="s">
        <v>7</v>
      </c>
      <c r="K490" t="str">
        <f t="shared" si="7"/>
        <v>01130394</v>
      </c>
      <c r="L490">
        <v>13001000</v>
      </c>
      <c r="M490">
        <v>50001000</v>
      </c>
    </row>
    <row r="491" spans="1:13">
      <c r="A491" t="s">
        <v>140</v>
      </c>
      <c r="B491" t="s">
        <v>243</v>
      </c>
      <c r="C491" t="s">
        <v>178</v>
      </c>
      <c r="D491" t="s">
        <v>297</v>
      </c>
      <c r="E491" t="s">
        <v>237</v>
      </c>
      <c r="F491" t="s">
        <v>238</v>
      </c>
      <c r="G491" t="s">
        <v>7</v>
      </c>
      <c r="H491" t="s">
        <v>217</v>
      </c>
      <c r="I491" t="s">
        <v>217</v>
      </c>
      <c r="J491" t="s">
        <v>7</v>
      </c>
      <c r="K491" t="str">
        <f t="shared" si="7"/>
        <v>01130383</v>
      </c>
      <c r="L491">
        <v>13001000</v>
      </c>
      <c r="M491">
        <v>13430000</v>
      </c>
    </row>
    <row r="492" spans="1:13">
      <c r="A492" t="s">
        <v>156</v>
      </c>
      <c r="B492" t="s">
        <v>244</v>
      </c>
      <c r="C492" t="s">
        <v>129</v>
      </c>
      <c r="D492" t="s">
        <v>280</v>
      </c>
      <c r="E492" t="s">
        <v>237</v>
      </c>
      <c r="F492" t="s">
        <v>238</v>
      </c>
      <c r="G492" t="s">
        <v>7</v>
      </c>
      <c r="H492" t="s">
        <v>217</v>
      </c>
      <c r="I492" t="s">
        <v>217</v>
      </c>
      <c r="J492" t="s">
        <v>7</v>
      </c>
      <c r="K492" t="str">
        <f t="shared" si="7"/>
        <v>01180381</v>
      </c>
      <c r="L492">
        <v>47001000</v>
      </c>
      <c r="M492">
        <v>23001000</v>
      </c>
    </row>
    <row r="493" spans="1:13">
      <c r="A493" t="s">
        <v>130</v>
      </c>
      <c r="B493" t="s">
        <v>247</v>
      </c>
      <c r="C493" t="s">
        <v>159</v>
      </c>
      <c r="D493" t="s">
        <v>279</v>
      </c>
      <c r="E493" t="s">
        <v>237</v>
      </c>
      <c r="F493" t="s">
        <v>238</v>
      </c>
      <c r="G493" t="s">
        <v>7</v>
      </c>
      <c r="H493" t="s">
        <v>217</v>
      </c>
      <c r="I493" t="s">
        <v>217</v>
      </c>
      <c r="J493" t="s">
        <v>7</v>
      </c>
      <c r="K493" t="str">
        <f t="shared" si="7"/>
        <v>01340384</v>
      </c>
      <c r="L493">
        <v>66001000</v>
      </c>
      <c r="M493">
        <v>23001000</v>
      </c>
    </row>
    <row r="494" spans="1:13">
      <c r="A494" t="s">
        <v>130</v>
      </c>
      <c r="B494" t="s">
        <v>247</v>
      </c>
      <c r="C494" t="s">
        <v>129</v>
      </c>
      <c r="D494" t="s">
        <v>280</v>
      </c>
      <c r="E494" t="s">
        <v>237</v>
      </c>
      <c r="F494" t="s">
        <v>238</v>
      </c>
      <c r="G494" t="s">
        <v>7</v>
      </c>
      <c r="H494" t="s">
        <v>217</v>
      </c>
      <c r="I494" t="s">
        <v>217</v>
      </c>
      <c r="J494" t="s">
        <v>7</v>
      </c>
      <c r="K494" t="str">
        <f t="shared" si="7"/>
        <v>01340381</v>
      </c>
      <c r="L494">
        <v>66001000</v>
      </c>
      <c r="M494">
        <v>23001000</v>
      </c>
    </row>
    <row r="495" spans="1:13">
      <c r="A495" t="s">
        <v>130</v>
      </c>
      <c r="B495" t="s">
        <v>247</v>
      </c>
      <c r="C495" t="s">
        <v>132</v>
      </c>
      <c r="D495" t="s">
        <v>255</v>
      </c>
      <c r="E495" t="s">
        <v>237</v>
      </c>
      <c r="F495" t="s">
        <v>238</v>
      </c>
      <c r="G495" t="s">
        <v>7</v>
      </c>
      <c r="H495" t="s">
        <v>217</v>
      </c>
      <c r="I495" t="s">
        <v>217</v>
      </c>
      <c r="J495" t="s">
        <v>7</v>
      </c>
      <c r="K495" t="str">
        <f t="shared" si="7"/>
        <v>01340441</v>
      </c>
      <c r="L495">
        <v>66170000</v>
      </c>
      <c r="M495">
        <v>11001000</v>
      </c>
    </row>
    <row r="496" spans="1:13">
      <c r="A496" t="s">
        <v>130</v>
      </c>
      <c r="B496" t="s">
        <v>247</v>
      </c>
      <c r="C496" t="s">
        <v>134</v>
      </c>
      <c r="D496" t="s">
        <v>281</v>
      </c>
      <c r="E496" t="s">
        <v>237</v>
      </c>
      <c r="F496" t="s">
        <v>238</v>
      </c>
      <c r="G496" t="s">
        <v>7</v>
      </c>
      <c r="H496" t="s">
        <v>217</v>
      </c>
      <c r="I496" t="s">
        <v>217</v>
      </c>
      <c r="J496" t="s">
        <v>7</v>
      </c>
      <c r="K496" t="str">
        <f t="shared" si="7"/>
        <v>01340424</v>
      </c>
      <c r="L496">
        <v>66170000</v>
      </c>
      <c r="M496">
        <v>68001000</v>
      </c>
    </row>
    <row r="497" spans="1:13">
      <c r="A497" t="s">
        <v>130</v>
      </c>
      <c r="B497" t="s">
        <v>247</v>
      </c>
      <c r="C497" t="s">
        <v>121</v>
      </c>
      <c r="D497" t="s">
        <v>282</v>
      </c>
      <c r="E497" t="s">
        <v>237</v>
      </c>
      <c r="F497" t="s">
        <v>238</v>
      </c>
      <c r="G497" t="s">
        <v>7</v>
      </c>
      <c r="H497" t="s">
        <v>217</v>
      </c>
      <c r="I497" t="s">
        <v>217</v>
      </c>
      <c r="J497" t="s">
        <v>7</v>
      </c>
      <c r="K497" t="str">
        <f t="shared" si="7"/>
        <v>01340438</v>
      </c>
      <c r="L497">
        <v>66170000</v>
      </c>
      <c r="M497">
        <v>54001000</v>
      </c>
    </row>
    <row r="498" spans="1:13">
      <c r="A498" t="s">
        <v>130</v>
      </c>
      <c r="B498" t="s">
        <v>247</v>
      </c>
      <c r="C498" t="s">
        <v>149</v>
      </c>
      <c r="D498" t="s">
        <v>286</v>
      </c>
      <c r="E498" t="s">
        <v>237</v>
      </c>
      <c r="F498" t="s">
        <v>238</v>
      </c>
      <c r="G498" t="s">
        <v>7</v>
      </c>
      <c r="H498" t="s">
        <v>217</v>
      </c>
      <c r="I498" t="s">
        <v>217</v>
      </c>
      <c r="J498" t="s">
        <v>7</v>
      </c>
      <c r="K498" t="str">
        <f t="shared" si="7"/>
        <v>01340447</v>
      </c>
      <c r="L498">
        <v>66170000</v>
      </c>
      <c r="M498">
        <v>20001000</v>
      </c>
    </row>
    <row r="499" spans="1:13">
      <c r="A499" t="s">
        <v>130</v>
      </c>
      <c r="B499" t="s">
        <v>247</v>
      </c>
      <c r="C499" t="s">
        <v>151</v>
      </c>
      <c r="D499" t="s">
        <v>271</v>
      </c>
      <c r="E499" t="s">
        <v>237</v>
      </c>
      <c r="F499" t="s">
        <v>238</v>
      </c>
      <c r="G499" t="s">
        <v>7</v>
      </c>
      <c r="H499" t="s">
        <v>217</v>
      </c>
      <c r="I499" t="s">
        <v>217</v>
      </c>
      <c r="J499" t="s">
        <v>7</v>
      </c>
      <c r="K499" t="str">
        <f t="shared" si="7"/>
        <v>01340395</v>
      </c>
      <c r="L499">
        <v>66170000</v>
      </c>
      <c r="M499">
        <v>52001000</v>
      </c>
    </row>
    <row r="500" spans="1:13">
      <c r="A500" t="s">
        <v>130</v>
      </c>
      <c r="B500" t="s">
        <v>247</v>
      </c>
      <c r="C500" t="s">
        <v>170</v>
      </c>
      <c r="D500" t="s">
        <v>270</v>
      </c>
      <c r="E500" t="s">
        <v>237</v>
      </c>
      <c r="F500" t="s">
        <v>238</v>
      </c>
      <c r="G500" t="s">
        <v>7</v>
      </c>
      <c r="H500" t="s">
        <v>217</v>
      </c>
      <c r="I500" t="s">
        <v>217</v>
      </c>
      <c r="J500" t="s">
        <v>7</v>
      </c>
      <c r="K500" t="str">
        <f t="shared" si="7"/>
        <v>01340392</v>
      </c>
      <c r="L500">
        <v>66170000</v>
      </c>
      <c r="M500">
        <v>73001000</v>
      </c>
    </row>
    <row r="501" spans="1:13">
      <c r="A501" t="s">
        <v>141</v>
      </c>
      <c r="B501" t="s">
        <v>250</v>
      </c>
      <c r="C501" t="s">
        <v>159</v>
      </c>
      <c r="D501" t="s">
        <v>279</v>
      </c>
      <c r="E501" t="s">
        <v>237</v>
      </c>
      <c r="F501" t="s">
        <v>238</v>
      </c>
      <c r="G501" t="s">
        <v>7</v>
      </c>
      <c r="H501" t="s">
        <v>217</v>
      </c>
      <c r="I501" t="s">
        <v>217</v>
      </c>
      <c r="J501" t="s">
        <v>7</v>
      </c>
      <c r="K501" t="str">
        <f t="shared" si="7"/>
        <v>01980384</v>
      </c>
      <c r="L501">
        <v>66001000</v>
      </c>
      <c r="M501">
        <v>23001000</v>
      </c>
    </row>
    <row r="502" spans="1:13">
      <c r="A502" t="s">
        <v>141</v>
      </c>
      <c r="B502" t="s">
        <v>250</v>
      </c>
      <c r="C502" t="s">
        <v>129</v>
      </c>
      <c r="D502" t="s">
        <v>280</v>
      </c>
      <c r="E502" t="s">
        <v>237</v>
      </c>
      <c r="F502" t="s">
        <v>238</v>
      </c>
      <c r="G502" t="s">
        <v>7</v>
      </c>
      <c r="H502" t="s">
        <v>217</v>
      </c>
      <c r="I502" t="s">
        <v>217</v>
      </c>
      <c r="J502" t="s">
        <v>7</v>
      </c>
      <c r="K502" t="str">
        <f t="shared" si="7"/>
        <v>01980381</v>
      </c>
      <c r="L502">
        <v>66001000</v>
      </c>
      <c r="M502">
        <v>23001000</v>
      </c>
    </row>
    <row r="503" spans="1:13">
      <c r="A503" t="s">
        <v>141</v>
      </c>
      <c r="B503" t="s">
        <v>250</v>
      </c>
      <c r="C503" t="s">
        <v>134</v>
      </c>
      <c r="D503" t="s">
        <v>281</v>
      </c>
      <c r="E503" t="s">
        <v>237</v>
      </c>
      <c r="F503" t="s">
        <v>238</v>
      </c>
      <c r="G503" t="s">
        <v>7</v>
      </c>
      <c r="H503" t="s">
        <v>217</v>
      </c>
      <c r="I503" t="s">
        <v>217</v>
      </c>
      <c r="J503" t="s">
        <v>7</v>
      </c>
      <c r="K503" t="str">
        <f t="shared" si="7"/>
        <v>01980424</v>
      </c>
      <c r="L503">
        <v>66001000</v>
      </c>
      <c r="M503">
        <v>68081000</v>
      </c>
    </row>
    <row r="504" spans="1:13">
      <c r="A504" t="s">
        <v>141</v>
      </c>
      <c r="B504" t="s">
        <v>250</v>
      </c>
      <c r="C504" t="s">
        <v>121</v>
      </c>
      <c r="D504" t="s">
        <v>282</v>
      </c>
      <c r="E504" t="s">
        <v>237</v>
      </c>
      <c r="F504" t="s">
        <v>238</v>
      </c>
      <c r="G504" t="s">
        <v>7</v>
      </c>
      <c r="H504" t="s">
        <v>217</v>
      </c>
      <c r="I504" t="s">
        <v>217</v>
      </c>
      <c r="J504" t="s">
        <v>7</v>
      </c>
      <c r="K504" t="str">
        <f t="shared" si="7"/>
        <v>01980438</v>
      </c>
      <c r="L504">
        <v>66001000</v>
      </c>
      <c r="M504">
        <v>54001000</v>
      </c>
    </row>
    <row r="505" spans="1:13">
      <c r="A505" t="s">
        <v>141</v>
      </c>
      <c r="B505" t="s">
        <v>250</v>
      </c>
      <c r="C505" t="s">
        <v>132</v>
      </c>
      <c r="D505" t="s">
        <v>255</v>
      </c>
      <c r="E505" t="s">
        <v>237</v>
      </c>
      <c r="F505" t="s">
        <v>238</v>
      </c>
      <c r="G505" t="s">
        <v>7</v>
      </c>
      <c r="H505" t="s">
        <v>217</v>
      </c>
      <c r="I505" t="s">
        <v>217</v>
      </c>
      <c r="J505" t="s">
        <v>7</v>
      </c>
      <c r="K505" t="str">
        <f t="shared" si="7"/>
        <v>01980441</v>
      </c>
      <c r="L505">
        <v>66001000</v>
      </c>
      <c r="M505">
        <v>15238000</v>
      </c>
    </row>
    <row r="506" spans="1:13">
      <c r="A506" t="s">
        <v>141</v>
      </c>
      <c r="B506" t="s">
        <v>250</v>
      </c>
      <c r="C506" t="s">
        <v>154</v>
      </c>
      <c r="D506" t="s">
        <v>283</v>
      </c>
      <c r="E506" t="s">
        <v>237</v>
      </c>
      <c r="F506" t="s">
        <v>238</v>
      </c>
      <c r="G506" t="s">
        <v>7</v>
      </c>
      <c r="H506" t="s">
        <v>217</v>
      </c>
      <c r="I506" t="s">
        <v>217</v>
      </c>
      <c r="J506" t="s">
        <v>7</v>
      </c>
      <c r="K506" t="str">
        <f t="shared" si="7"/>
        <v>01980442</v>
      </c>
      <c r="L506">
        <v>66001000</v>
      </c>
      <c r="M506">
        <v>85001000</v>
      </c>
    </row>
    <row r="507" spans="1:13">
      <c r="A507" t="s">
        <v>141</v>
      </c>
      <c r="B507" t="s">
        <v>250</v>
      </c>
      <c r="C507" t="s">
        <v>158</v>
      </c>
      <c r="D507" t="s">
        <v>284</v>
      </c>
      <c r="E507" t="s">
        <v>237</v>
      </c>
      <c r="F507" t="s">
        <v>238</v>
      </c>
      <c r="G507" t="s">
        <v>7</v>
      </c>
      <c r="H507" t="s">
        <v>217</v>
      </c>
      <c r="I507" t="s">
        <v>217</v>
      </c>
      <c r="J507" t="s">
        <v>7</v>
      </c>
      <c r="K507" t="str">
        <f t="shared" si="7"/>
        <v>01980444</v>
      </c>
      <c r="L507">
        <v>66001000</v>
      </c>
      <c r="M507">
        <v>15238000</v>
      </c>
    </row>
    <row r="508" spans="1:13">
      <c r="A508" t="s">
        <v>141</v>
      </c>
      <c r="B508" t="s">
        <v>250</v>
      </c>
      <c r="C508" t="s">
        <v>144</v>
      </c>
      <c r="D508" t="s">
        <v>285</v>
      </c>
      <c r="E508" t="s">
        <v>237</v>
      </c>
      <c r="F508" t="s">
        <v>238</v>
      </c>
      <c r="G508" t="s">
        <v>7</v>
      </c>
      <c r="H508" t="s">
        <v>217</v>
      </c>
      <c r="I508" t="s">
        <v>217</v>
      </c>
      <c r="J508" t="s">
        <v>7</v>
      </c>
      <c r="K508" t="str">
        <f t="shared" si="7"/>
        <v>01980443</v>
      </c>
      <c r="L508">
        <v>66001000</v>
      </c>
      <c r="M508">
        <v>15238000</v>
      </c>
    </row>
    <row r="509" spans="1:13">
      <c r="A509" t="s">
        <v>141</v>
      </c>
      <c r="B509" t="s">
        <v>250</v>
      </c>
      <c r="C509" t="s">
        <v>149</v>
      </c>
      <c r="D509" t="s">
        <v>286</v>
      </c>
      <c r="E509" t="s">
        <v>237</v>
      </c>
      <c r="F509" t="s">
        <v>238</v>
      </c>
      <c r="G509" t="s">
        <v>7</v>
      </c>
      <c r="H509" t="s">
        <v>217</v>
      </c>
      <c r="I509" t="s">
        <v>217</v>
      </c>
      <c r="J509" t="s">
        <v>7</v>
      </c>
      <c r="K509" t="str">
        <f t="shared" si="7"/>
        <v>01980447</v>
      </c>
      <c r="L509">
        <v>66001000</v>
      </c>
      <c r="M509">
        <v>20001000</v>
      </c>
    </row>
    <row r="510" spans="1:13">
      <c r="A510" t="s">
        <v>141</v>
      </c>
      <c r="B510" t="s">
        <v>250</v>
      </c>
      <c r="C510" t="s">
        <v>157</v>
      </c>
      <c r="D510" t="s">
        <v>288</v>
      </c>
      <c r="E510" t="s">
        <v>237</v>
      </c>
      <c r="F510" t="s">
        <v>238</v>
      </c>
      <c r="G510" t="s">
        <v>7</v>
      </c>
      <c r="H510" t="s">
        <v>217</v>
      </c>
      <c r="I510" t="s">
        <v>217</v>
      </c>
      <c r="J510" t="s">
        <v>7</v>
      </c>
      <c r="K510" t="str">
        <f t="shared" si="7"/>
        <v>01980446</v>
      </c>
      <c r="L510">
        <v>66001000</v>
      </c>
      <c r="M510">
        <v>15238000</v>
      </c>
    </row>
    <row r="511" spans="1:13">
      <c r="A511" t="s">
        <v>141</v>
      </c>
      <c r="B511" t="s">
        <v>250</v>
      </c>
      <c r="C511" t="s">
        <v>122</v>
      </c>
      <c r="D511" t="s">
        <v>289</v>
      </c>
      <c r="E511" t="s">
        <v>237</v>
      </c>
      <c r="F511" t="s">
        <v>238</v>
      </c>
      <c r="G511" t="s">
        <v>7</v>
      </c>
      <c r="H511" t="s">
        <v>217</v>
      </c>
      <c r="I511" t="s">
        <v>217</v>
      </c>
      <c r="J511" t="s">
        <v>7</v>
      </c>
      <c r="K511" t="str">
        <f t="shared" si="7"/>
        <v>01980385</v>
      </c>
      <c r="L511">
        <v>66001000</v>
      </c>
      <c r="M511">
        <v>41001000</v>
      </c>
    </row>
    <row r="512" spans="1:13">
      <c r="A512" t="s">
        <v>141</v>
      </c>
      <c r="B512" t="s">
        <v>250</v>
      </c>
      <c r="C512" t="s">
        <v>135</v>
      </c>
      <c r="D512" t="s">
        <v>290</v>
      </c>
      <c r="E512" t="s">
        <v>237</v>
      </c>
      <c r="F512" t="s">
        <v>238</v>
      </c>
      <c r="G512" t="s">
        <v>7</v>
      </c>
      <c r="H512" t="s">
        <v>217</v>
      </c>
      <c r="I512" t="s">
        <v>217</v>
      </c>
      <c r="J512" t="s">
        <v>7</v>
      </c>
      <c r="K512" t="str">
        <f t="shared" si="7"/>
        <v>01980393</v>
      </c>
      <c r="L512">
        <v>66001000</v>
      </c>
      <c r="M512">
        <v>50001000</v>
      </c>
    </row>
    <row r="513" spans="1:13">
      <c r="A513" t="s">
        <v>141</v>
      </c>
      <c r="B513" t="s">
        <v>250</v>
      </c>
      <c r="C513" t="s">
        <v>151</v>
      </c>
      <c r="D513" t="s">
        <v>271</v>
      </c>
      <c r="E513" t="s">
        <v>237</v>
      </c>
      <c r="F513" t="s">
        <v>238</v>
      </c>
      <c r="G513" t="s">
        <v>7</v>
      </c>
      <c r="H513" t="s">
        <v>217</v>
      </c>
      <c r="I513" t="s">
        <v>217</v>
      </c>
      <c r="J513" t="s">
        <v>7</v>
      </c>
      <c r="K513" t="str">
        <f t="shared" si="7"/>
        <v>01980395</v>
      </c>
      <c r="L513">
        <v>66001000</v>
      </c>
      <c r="M513">
        <v>52001000</v>
      </c>
    </row>
    <row r="514" spans="1:13">
      <c r="A514" t="s">
        <v>141</v>
      </c>
      <c r="B514" t="s">
        <v>250</v>
      </c>
      <c r="C514" t="s">
        <v>127</v>
      </c>
      <c r="D514" t="s">
        <v>268</v>
      </c>
      <c r="E514" t="s">
        <v>237</v>
      </c>
      <c r="F514" t="s">
        <v>238</v>
      </c>
      <c r="G514" t="s">
        <v>7</v>
      </c>
      <c r="H514" t="s">
        <v>217</v>
      </c>
      <c r="I514" t="s">
        <v>217</v>
      </c>
      <c r="J514" t="s">
        <v>7</v>
      </c>
      <c r="K514" t="str">
        <f t="shared" si="7"/>
        <v>01980390</v>
      </c>
      <c r="L514">
        <v>66001000</v>
      </c>
      <c r="M514">
        <v>73001000</v>
      </c>
    </row>
    <row r="515" spans="1:13">
      <c r="A515" t="s">
        <v>141</v>
      </c>
      <c r="B515" t="s">
        <v>250</v>
      </c>
      <c r="C515" t="s">
        <v>143</v>
      </c>
      <c r="D515" t="s">
        <v>266</v>
      </c>
      <c r="E515" t="s">
        <v>237</v>
      </c>
      <c r="F515" t="s">
        <v>238</v>
      </c>
      <c r="G515" t="s">
        <v>7</v>
      </c>
      <c r="H515" t="s">
        <v>217</v>
      </c>
      <c r="I515" t="s">
        <v>217</v>
      </c>
      <c r="J515" t="s">
        <v>7</v>
      </c>
      <c r="K515" t="str">
        <f t="shared" ref="K515:K578" si="8">A515&amp;C515</f>
        <v>01980388</v>
      </c>
      <c r="L515">
        <v>66001000</v>
      </c>
      <c r="M515">
        <v>18001000</v>
      </c>
    </row>
    <row r="516" spans="1:13">
      <c r="A516" t="s">
        <v>141</v>
      </c>
      <c r="B516" t="s">
        <v>250</v>
      </c>
      <c r="C516" t="s">
        <v>170</v>
      </c>
      <c r="D516" t="s">
        <v>270</v>
      </c>
      <c r="E516" t="s">
        <v>237</v>
      </c>
      <c r="F516" t="s">
        <v>238</v>
      </c>
      <c r="G516" t="s">
        <v>7</v>
      </c>
      <c r="H516" t="s">
        <v>217</v>
      </c>
      <c r="I516" t="s">
        <v>217</v>
      </c>
      <c r="J516" t="s">
        <v>7</v>
      </c>
      <c r="K516" t="str">
        <f t="shared" si="8"/>
        <v>01980392</v>
      </c>
      <c r="L516">
        <v>66001000</v>
      </c>
      <c r="M516">
        <v>73443000</v>
      </c>
    </row>
    <row r="517" spans="1:13">
      <c r="A517" t="s">
        <v>141</v>
      </c>
      <c r="B517" t="s">
        <v>250</v>
      </c>
      <c r="C517" t="s">
        <v>171</v>
      </c>
      <c r="D517" t="s">
        <v>269</v>
      </c>
      <c r="E517" t="s">
        <v>237</v>
      </c>
      <c r="F517" t="s">
        <v>238</v>
      </c>
      <c r="G517" t="s">
        <v>7</v>
      </c>
      <c r="H517" t="s">
        <v>217</v>
      </c>
      <c r="I517" t="s">
        <v>217</v>
      </c>
      <c r="J517" t="s">
        <v>7</v>
      </c>
      <c r="K517" t="str">
        <f t="shared" si="8"/>
        <v>01980391</v>
      </c>
      <c r="L517">
        <v>66001000</v>
      </c>
      <c r="M517">
        <v>17380000</v>
      </c>
    </row>
    <row r="518" spans="1:13">
      <c r="A518" t="s">
        <v>141</v>
      </c>
      <c r="B518" t="s">
        <v>250</v>
      </c>
      <c r="C518" t="s">
        <v>126</v>
      </c>
      <c r="D518" t="s">
        <v>267</v>
      </c>
      <c r="E518" t="s">
        <v>237</v>
      </c>
      <c r="F518" t="s">
        <v>238</v>
      </c>
      <c r="G518" t="s">
        <v>7</v>
      </c>
      <c r="H518" t="s">
        <v>217</v>
      </c>
      <c r="I518" t="s">
        <v>217</v>
      </c>
      <c r="J518" t="s">
        <v>7</v>
      </c>
      <c r="K518" t="str">
        <f t="shared" si="8"/>
        <v>01980389</v>
      </c>
      <c r="L518">
        <v>66001000</v>
      </c>
      <c r="M518">
        <v>73001000</v>
      </c>
    </row>
    <row r="519" spans="1:13">
      <c r="A519" t="s">
        <v>141</v>
      </c>
      <c r="B519" t="s">
        <v>250</v>
      </c>
      <c r="C519" t="s">
        <v>139</v>
      </c>
      <c r="D519" t="s">
        <v>273</v>
      </c>
      <c r="E519" t="s">
        <v>237</v>
      </c>
      <c r="F519" t="s">
        <v>238</v>
      </c>
      <c r="G519" t="s">
        <v>7</v>
      </c>
      <c r="H519" t="s">
        <v>217</v>
      </c>
      <c r="I519" t="s">
        <v>217</v>
      </c>
      <c r="J519" t="s">
        <v>7</v>
      </c>
      <c r="K519" t="str">
        <f t="shared" si="8"/>
        <v>01980397</v>
      </c>
      <c r="L519">
        <v>66001000</v>
      </c>
      <c r="M519">
        <v>52356000</v>
      </c>
    </row>
    <row r="520" spans="1:13">
      <c r="A520" t="s">
        <v>141</v>
      </c>
      <c r="B520" t="s">
        <v>250</v>
      </c>
      <c r="C520" t="s">
        <v>146</v>
      </c>
      <c r="D520" t="s">
        <v>272</v>
      </c>
      <c r="E520" t="s">
        <v>237</v>
      </c>
      <c r="F520" t="s">
        <v>238</v>
      </c>
      <c r="G520" t="s">
        <v>7</v>
      </c>
      <c r="H520" t="s">
        <v>217</v>
      </c>
      <c r="I520" t="s">
        <v>217</v>
      </c>
      <c r="J520" t="s">
        <v>7</v>
      </c>
      <c r="K520" t="str">
        <f t="shared" si="8"/>
        <v>01980396</v>
      </c>
      <c r="L520">
        <v>66001000</v>
      </c>
      <c r="M520">
        <v>52835000</v>
      </c>
    </row>
    <row r="521" spans="1:13">
      <c r="A521" t="s">
        <v>141</v>
      </c>
      <c r="B521" t="s">
        <v>250</v>
      </c>
      <c r="C521" t="s">
        <v>120</v>
      </c>
      <c r="D521" t="s">
        <v>292</v>
      </c>
      <c r="E521" t="s">
        <v>237</v>
      </c>
      <c r="F521" t="s">
        <v>238</v>
      </c>
      <c r="G521" t="s">
        <v>7</v>
      </c>
      <c r="H521" t="s">
        <v>217</v>
      </c>
      <c r="I521" t="s">
        <v>217</v>
      </c>
      <c r="J521" t="s">
        <v>7</v>
      </c>
      <c r="K521" t="str">
        <f t="shared" si="8"/>
        <v>01980422</v>
      </c>
      <c r="L521">
        <v>66001000</v>
      </c>
      <c r="M521">
        <v>68001000</v>
      </c>
    </row>
    <row r="522" spans="1:13">
      <c r="A522" t="s">
        <v>141</v>
      </c>
      <c r="B522" t="s">
        <v>250</v>
      </c>
      <c r="C522" t="s">
        <v>177</v>
      </c>
      <c r="D522" t="s">
        <v>264</v>
      </c>
      <c r="E522" t="s">
        <v>237</v>
      </c>
      <c r="F522" t="s">
        <v>238</v>
      </c>
      <c r="G522" t="s">
        <v>7</v>
      </c>
      <c r="H522" t="s">
        <v>217</v>
      </c>
      <c r="I522" t="s">
        <v>217</v>
      </c>
      <c r="J522" t="s">
        <v>7</v>
      </c>
      <c r="K522" t="str">
        <f t="shared" si="8"/>
        <v>01980386</v>
      </c>
      <c r="L522">
        <v>66001000</v>
      </c>
      <c r="M522">
        <v>73001000</v>
      </c>
    </row>
    <row r="523" spans="1:13">
      <c r="A523" t="s">
        <v>141</v>
      </c>
      <c r="B523" t="s">
        <v>250</v>
      </c>
      <c r="C523" t="s">
        <v>138</v>
      </c>
      <c r="D523" t="s">
        <v>265</v>
      </c>
      <c r="E523" t="s">
        <v>237</v>
      </c>
      <c r="F523" t="s">
        <v>238</v>
      </c>
      <c r="G523" t="s">
        <v>7</v>
      </c>
      <c r="H523" t="s">
        <v>217</v>
      </c>
      <c r="I523" t="s">
        <v>217</v>
      </c>
      <c r="J523" t="s">
        <v>7</v>
      </c>
      <c r="K523" t="str">
        <f t="shared" si="8"/>
        <v>01980387</v>
      </c>
      <c r="L523">
        <v>66001000</v>
      </c>
      <c r="M523">
        <v>41001000</v>
      </c>
    </row>
    <row r="524" spans="1:13">
      <c r="A524" t="s">
        <v>141</v>
      </c>
      <c r="B524" t="s">
        <v>250</v>
      </c>
      <c r="C524" t="s">
        <v>148</v>
      </c>
      <c r="D524" t="s">
        <v>294</v>
      </c>
      <c r="E524" t="s">
        <v>237</v>
      </c>
      <c r="F524" t="s">
        <v>238</v>
      </c>
      <c r="G524" t="s">
        <v>7</v>
      </c>
      <c r="H524" t="s">
        <v>217</v>
      </c>
      <c r="I524" t="s">
        <v>217</v>
      </c>
      <c r="J524" t="s">
        <v>7</v>
      </c>
      <c r="K524" t="str">
        <f t="shared" si="8"/>
        <v>01980437</v>
      </c>
      <c r="L524">
        <v>66001000</v>
      </c>
      <c r="M524">
        <v>68081000</v>
      </c>
    </row>
    <row r="525" spans="1:13">
      <c r="A525" t="s">
        <v>141</v>
      </c>
      <c r="B525" t="s">
        <v>250</v>
      </c>
      <c r="C525" t="s">
        <v>165</v>
      </c>
      <c r="D525" t="s">
        <v>295</v>
      </c>
      <c r="E525" t="s">
        <v>237</v>
      </c>
      <c r="F525" t="s">
        <v>238</v>
      </c>
      <c r="G525" t="s">
        <v>7</v>
      </c>
      <c r="H525" t="s">
        <v>217</v>
      </c>
      <c r="I525" t="s">
        <v>217</v>
      </c>
      <c r="J525" t="s">
        <v>7</v>
      </c>
      <c r="K525" t="str">
        <f t="shared" si="8"/>
        <v>01980434</v>
      </c>
      <c r="L525">
        <v>66001000</v>
      </c>
      <c r="M525">
        <v>20001000</v>
      </c>
    </row>
    <row r="526" spans="1:13">
      <c r="A526" t="s">
        <v>141</v>
      </c>
      <c r="B526" t="s">
        <v>250</v>
      </c>
      <c r="C526" t="s">
        <v>169</v>
      </c>
      <c r="D526" t="s">
        <v>291</v>
      </c>
      <c r="E526" t="s">
        <v>237</v>
      </c>
      <c r="F526" t="s">
        <v>238</v>
      </c>
      <c r="G526" t="s">
        <v>7</v>
      </c>
      <c r="H526" t="s">
        <v>217</v>
      </c>
      <c r="I526" t="s">
        <v>217</v>
      </c>
      <c r="J526" t="s">
        <v>7</v>
      </c>
      <c r="K526" t="str">
        <f t="shared" si="8"/>
        <v>01980449</v>
      </c>
      <c r="L526">
        <v>66001000</v>
      </c>
      <c r="M526">
        <v>47001000</v>
      </c>
    </row>
    <row r="527" spans="1:13">
      <c r="A527" t="s">
        <v>141</v>
      </c>
      <c r="B527" t="s">
        <v>250</v>
      </c>
      <c r="C527" t="s">
        <v>161</v>
      </c>
      <c r="D527" t="s">
        <v>293</v>
      </c>
      <c r="E527" t="s">
        <v>237</v>
      </c>
      <c r="F527" t="s">
        <v>238</v>
      </c>
      <c r="G527" t="s">
        <v>7</v>
      </c>
      <c r="H527" t="s">
        <v>217</v>
      </c>
      <c r="I527" t="s">
        <v>217</v>
      </c>
      <c r="J527" t="s">
        <v>7</v>
      </c>
      <c r="K527" t="str">
        <f t="shared" si="8"/>
        <v>01980382</v>
      </c>
      <c r="L527">
        <v>66001000</v>
      </c>
      <c r="M527">
        <v>70001000</v>
      </c>
    </row>
    <row r="528" spans="1:13">
      <c r="A528" t="s">
        <v>141</v>
      </c>
      <c r="B528" t="s">
        <v>250</v>
      </c>
      <c r="C528" t="s">
        <v>167</v>
      </c>
      <c r="D528" t="s">
        <v>298</v>
      </c>
      <c r="E528" t="s">
        <v>237</v>
      </c>
      <c r="F528" t="s">
        <v>238</v>
      </c>
      <c r="G528" t="s">
        <v>7</v>
      </c>
      <c r="H528" t="s">
        <v>217</v>
      </c>
      <c r="I528" t="s">
        <v>217</v>
      </c>
      <c r="J528" t="s">
        <v>7</v>
      </c>
      <c r="K528" t="str">
        <f t="shared" si="8"/>
        <v>01980448</v>
      </c>
      <c r="L528">
        <v>66001000</v>
      </c>
      <c r="M528">
        <v>20001000</v>
      </c>
    </row>
    <row r="529" spans="1:13">
      <c r="A529" t="s">
        <v>141</v>
      </c>
      <c r="B529" t="s">
        <v>250</v>
      </c>
      <c r="C529" t="s">
        <v>178</v>
      </c>
      <c r="D529" t="s">
        <v>297</v>
      </c>
      <c r="E529" t="s">
        <v>237</v>
      </c>
      <c r="F529" t="s">
        <v>238</v>
      </c>
      <c r="G529" t="s">
        <v>7</v>
      </c>
      <c r="H529" t="s">
        <v>217</v>
      </c>
      <c r="I529" t="s">
        <v>217</v>
      </c>
      <c r="J529" t="s">
        <v>7</v>
      </c>
      <c r="K529" t="str">
        <f t="shared" si="8"/>
        <v>01980383</v>
      </c>
      <c r="L529">
        <v>66001000</v>
      </c>
      <c r="M529">
        <v>70001000</v>
      </c>
    </row>
    <row r="530" spans="1:13">
      <c r="A530" t="s">
        <v>141</v>
      </c>
      <c r="B530" t="s">
        <v>250</v>
      </c>
      <c r="C530" t="s">
        <v>160</v>
      </c>
      <c r="D530" t="s">
        <v>287</v>
      </c>
      <c r="E530" t="s">
        <v>237</v>
      </c>
      <c r="F530" t="s">
        <v>238</v>
      </c>
      <c r="G530" t="s">
        <v>7</v>
      </c>
      <c r="H530" t="s">
        <v>217</v>
      </c>
      <c r="I530" t="s">
        <v>217</v>
      </c>
      <c r="J530" t="s">
        <v>7</v>
      </c>
      <c r="K530" t="str">
        <f t="shared" si="8"/>
        <v>01980423</v>
      </c>
      <c r="L530">
        <v>66001000</v>
      </c>
      <c r="M530">
        <v>68001000</v>
      </c>
    </row>
    <row r="531" spans="1:13">
      <c r="A531" t="s">
        <v>123</v>
      </c>
      <c r="B531" t="s">
        <v>263</v>
      </c>
      <c r="C531" t="s">
        <v>120</v>
      </c>
      <c r="D531" t="s">
        <v>292</v>
      </c>
      <c r="E531" t="s">
        <v>237</v>
      </c>
      <c r="F531" t="s">
        <v>238</v>
      </c>
      <c r="G531" t="s">
        <v>7</v>
      </c>
      <c r="H531" t="s">
        <v>217</v>
      </c>
      <c r="I531" t="s">
        <v>217</v>
      </c>
      <c r="J531" t="s">
        <v>7</v>
      </c>
      <c r="K531" t="str">
        <f t="shared" si="8"/>
        <v>02920422</v>
      </c>
      <c r="L531">
        <v>5360000</v>
      </c>
      <c r="M531">
        <v>68001000</v>
      </c>
    </row>
    <row r="532" spans="1:13">
      <c r="A532" t="s">
        <v>129</v>
      </c>
      <c r="B532" t="s">
        <v>280</v>
      </c>
      <c r="C532" t="s">
        <v>118</v>
      </c>
      <c r="D532" t="s">
        <v>112</v>
      </c>
      <c r="E532" t="s">
        <v>237</v>
      </c>
      <c r="F532" t="s">
        <v>238</v>
      </c>
      <c r="G532" t="s">
        <v>7</v>
      </c>
      <c r="H532" t="s">
        <v>217</v>
      </c>
      <c r="I532" t="s">
        <v>217</v>
      </c>
      <c r="J532" t="s">
        <v>7</v>
      </c>
      <c r="K532" t="str">
        <f t="shared" si="8"/>
        <v>03810079</v>
      </c>
      <c r="L532">
        <v>23001000</v>
      </c>
      <c r="M532">
        <v>5001000</v>
      </c>
    </row>
    <row r="533" spans="1:13">
      <c r="A533" t="s">
        <v>129</v>
      </c>
      <c r="B533" t="s">
        <v>280</v>
      </c>
      <c r="C533" t="s">
        <v>133</v>
      </c>
      <c r="D533" t="s">
        <v>241</v>
      </c>
      <c r="E533" t="s">
        <v>237</v>
      </c>
      <c r="F533" t="s">
        <v>238</v>
      </c>
      <c r="G533" t="s">
        <v>7</v>
      </c>
      <c r="H533" t="s">
        <v>217</v>
      </c>
      <c r="I533" t="s">
        <v>217</v>
      </c>
      <c r="J533" t="s">
        <v>7</v>
      </c>
      <c r="K533" t="str">
        <f t="shared" si="8"/>
        <v>03810090</v>
      </c>
      <c r="L533">
        <v>23001000</v>
      </c>
      <c r="M533">
        <v>5615000</v>
      </c>
    </row>
    <row r="534" spans="1:13">
      <c r="A534" t="s">
        <v>129</v>
      </c>
      <c r="B534" t="s">
        <v>280</v>
      </c>
      <c r="C534" t="s">
        <v>124</v>
      </c>
      <c r="D534" t="s">
        <v>242</v>
      </c>
      <c r="E534" t="s">
        <v>237</v>
      </c>
      <c r="F534" t="s">
        <v>238</v>
      </c>
      <c r="G534" t="s">
        <v>7</v>
      </c>
      <c r="H534" t="s">
        <v>217</v>
      </c>
      <c r="I534" t="s">
        <v>217</v>
      </c>
      <c r="J534" t="s">
        <v>7</v>
      </c>
      <c r="K534" t="str">
        <f t="shared" si="8"/>
        <v>03810092</v>
      </c>
      <c r="L534">
        <v>23001000</v>
      </c>
      <c r="M534">
        <v>5001000</v>
      </c>
    </row>
    <row r="535" spans="1:13">
      <c r="A535" t="s">
        <v>129</v>
      </c>
      <c r="B535" t="s">
        <v>280</v>
      </c>
      <c r="C535" t="s">
        <v>140</v>
      </c>
      <c r="D535" t="s">
        <v>243</v>
      </c>
      <c r="E535" t="s">
        <v>237</v>
      </c>
      <c r="F535" t="s">
        <v>238</v>
      </c>
      <c r="G535" t="s">
        <v>7</v>
      </c>
      <c r="H535" t="s">
        <v>217</v>
      </c>
      <c r="I535" t="s">
        <v>217</v>
      </c>
      <c r="J535" t="s">
        <v>7</v>
      </c>
      <c r="K535" t="str">
        <f t="shared" si="8"/>
        <v>03810113</v>
      </c>
      <c r="L535">
        <v>23001000</v>
      </c>
      <c r="M535">
        <v>13001000</v>
      </c>
    </row>
    <row r="536" spans="1:13">
      <c r="A536" t="s">
        <v>129</v>
      </c>
      <c r="B536" t="s">
        <v>280</v>
      </c>
      <c r="C536" t="s">
        <v>156</v>
      </c>
      <c r="D536" t="s">
        <v>244</v>
      </c>
      <c r="E536" t="s">
        <v>237</v>
      </c>
      <c r="F536" t="s">
        <v>238</v>
      </c>
      <c r="G536" t="s">
        <v>7</v>
      </c>
      <c r="H536" t="s">
        <v>217</v>
      </c>
      <c r="I536" t="s">
        <v>217</v>
      </c>
      <c r="J536" t="s">
        <v>7</v>
      </c>
      <c r="K536" t="str">
        <f t="shared" si="8"/>
        <v>03810118</v>
      </c>
      <c r="L536">
        <v>23001000</v>
      </c>
      <c r="M536">
        <v>47001000</v>
      </c>
    </row>
    <row r="537" spans="1:13">
      <c r="A537" t="s">
        <v>129</v>
      </c>
      <c r="B537" t="s">
        <v>280</v>
      </c>
      <c r="C537" t="s">
        <v>141</v>
      </c>
      <c r="D537" t="s">
        <v>250</v>
      </c>
      <c r="E537" t="s">
        <v>237</v>
      </c>
      <c r="F537" t="s">
        <v>238</v>
      </c>
      <c r="G537" t="s">
        <v>7</v>
      </c>
      <c r="H537" t="s">
        <v>217</v>
      </c>
      <c r="I537" t="s">
        <v>217</v>
      </c>
      <c r="J537" t="s">
        <v>7</v>
      </c>
      <c r="K537" t="str">
        <f t="shared" si="8"/>
        <v>03810198</v>
      </c>
      <c r="L537">
        <v>23001000</v>
      </c>
      <c r="M537">
        <v>66001000</v>
      </c>
    </row>
    <row r="538" spans="1:13">
      <c r="A538" t="s">
        <v>129</v>
      </c>
      <c r="B538" t="s">
        <v>280</v>
      </c>
      <c r="C538" t="s">
        <v>120</v>
      </c>
      <c r="D538" t="s">
        <v>292</v>
      </c>
      <c r="E538" t="s">
        <v>237</v>
      </c>
      <c r="F538" t="s">
        <v>238</v>
      </c>
      <c r="G538" t="s">
        <v>7</v>
      </c>
      <c r="H538" t="s">
        <v>217</v>
      </c>
      <c r="I538" t="s">
        <v>217</v>
      </c>
      <c r="J538" t="s">
        <v>7</v>
      </c>
      <c r="K538" t="str">
        <f t="shared" si="8"/>
        <v>03810422</v>
      </c>
      <c r="L538">
        <v>23001000</v>
      </c>
      <c r="M538">
        <v>68001000</v>
      </c>
    </row>
    <row r="539" spans="1:13">
      <c r="A539" t="s">
        <v>129</v>
      </c>
      <c r="B539" t="s">
        <v>280</v>
      </c>
      <c r="C539" t="s">
        <v>119</v>
      </c>
      <c r="D539" t="s">
        <v>274</v>
      </c>
      <c r="E539" t="s">
        <v>237</v>
      </c>
      <c r="F539" t="s">
        <v>238</v>
      </c>
      <c r="G539" t="s">
        <v>7</v>
      </c>
      <c r="H539" t="s">
        <v>217</v>
      </c>
      <c r="I539" t="s">
        <v>217</v>
      </c>
      <c r="J539" t="s">
        <v>7</v>
      </c>
      <c r="K539" t="str">
        <f t="shared" si="8"/>
        <v>03810111</v>
      </c>
      <c r="L539">
        <v>23001000</v>
      </c>
      <c r="M539">
        <v>8433000</v>
      </c>
    </row>
    <row r="540" spans="1:13">
      <c r="A540" t="s">
        <v>129</v>
      </c>
      <c r="B540" t="s">
        <v>280</v>
      </c>
      <c r="C540" t="s">
        <v>136</v>
      </c>
      <c r="D540" t="s">
        <v>276</v>
      </c>
      <c r="E540" t="s">
        <v>237</v>
      </c>
      <c r="F540" t="s">
        <v>238</v>
      </c>
      <c r="G540" t="s">
        <v>7</v>
      </c>
      <c r="H540" t="s">
        <v>217</v>
      </c>
      <c r="I540" t="s">
        <v>217</v>
      </c>
      <c r="J540" t="s">
        <v>7</v>
      </c>
      <c r="K540" t="str">
        <f t="shared" si="8"/>
        <v>03810074</v>
      </c>
      <c r="L540">
        <v>23001000</v>
      </c>
      <c r="M540">
        <v>5001000</v>
      </c>
    </row>
    <row r="541" spans="1:13">
      <c r="A541" t="s">
        <v>129</v>
      </c>
      <c r="B541" t="s">
        <v>280</v>
      </c>
      <c r="C541" t="s">
        <v>125</v>
      </c>
      <c r="D541" t="s">
        <v>277</v>
      </c>
      <c r="E541" t="s">
        <v>237</v>
      </c>
      <c r="F541" t="s">
        <v>238</v>
      </c>
      <c r="G541" t="s">
        <v>7</v>
      </c>
      <c r="H541" t="s">
        <v>217</v>
      </c>
      <c r="I541" t="s">
        <v>217</v>
      </c>
      <c r="J541" t="s">
        <v>7</v>
      </c>
      <c r="K541" t="str">
        <f t="shared" si="8"/>
        <v>03810445</v>
      </c>
      <c r="L541">
        <v>23001000</v>
      </c>
      <c r="M541">
        <v>19142000</v>
      </c>
    </row>
    <row r="542" spans="1:13">
      <c r="A542" t="s">
        <v>161</v>
      </c>
      <c r="B542" t="s">
        <v>293</v>
      </c>
      <c r="C542" t="s">
        <v>129</v>
      </c>
      <c r="D542" t="s">
        <v>280</v>
      </c>
      <c r="E542" t="s">
        <v>237</v>
      </c>
      <c r="F542" t="s">
        <v>238</v>
      </c>
      <c r="G542" t="s">
        <v>7</v>
      </c>
      <c r="H542" t="s">
        <v>217</v>
      </c>
      <c r="I542" t="s">
        <v>217</v>
      </c>
      <c r="J542" t="s">
        <v>7</v>
      </c>
      <c r="K542" t="str">
        <f t="shared" si="8"/>
        <v>03820381</v>
      </c>
      <c r="L542">
        <v>70001000</v>
      </c>
      <c r="M542">
        <v>23001000</v>
      </c>
    </row>
    <row r="543" spans="1:13">
      <c r="A543" t="s">
        <v>161</v>
      </c>
      <c r="B543" t="s">
        <v>293</v>
      </c>
      <c r="C543" t="s">
        <v>178</v>
      </c>
      <c r="D543" t="s">
        <v>297</v>
      </c>
      <c r="E543" t="s">
        <v>237</v>
      </c>
      <c r="F543" t="s">
        <v>238</v>
      </c>
      <c r="G543" t="s">
        <v>7</v>
      </c>
      <c r="H543" t="s">
        <v>217</v>
      </c>
      <c r="I543" t="s">
        <v>217</v>
      </c>
      <c r="J543" t="s">
        <v>7</v>
      </c>
      <c r="K543" t="str">
        <f t="shared" si="8"/>
        <v>03820383</v>
      </c>
      <c r="L543">
        <v>70001000</v>
      </c>
      <c r="M543">
        <v>13430000</v>
      </c>
    </row>
    <row r="544" spans="1:13">
      <c r="A544" t="s">
        <v>159</v>
      </c>
      <c r="B544" t="s">
        <v>279</v>
      </c>
      <c r="C544" t="s">
        <v>129</v>
      </c>
      <c r="D544" t="s">
        <v>280</v>
      </c>
      <c r="E544" t="s">
        <v>237</v>
      </c>
      <c r="F544" t="s">
        <v>238</v>
      </c>
      <c r="G544" t="s">
        <v>7</v>
      </c>
      <c r="H544" t="s">
        <v>217</v>
      </c>
      <c r="I544" t="s">
        <v>217</v>
      </c>
      <c r="J544" t="s">
        <v>7</v>
      </c>
      <c r="K544" t="str">
        <f t="shared" si="8"/>
        <v>03840381</v>
      </c>
      <c r="L544">
        <v>5154000</v>
      </c>
      <c r="M544">
        <v>23001000</v>
      </c>
    </row>
    <row r="545" spans="1:13">
      <c r="A545" t="s">
        <v>159</v>
      </c>
      <c r="B545" t="s">
        <v>279</v>
      </c>
      <c r="C545" t="s">
        <v>119</v>
      </c>
      <c r="D545" t="s">
        <v>274</v>
      </c>
      <c r="E545" t="s">
        <v>237</v>
      </c>
      <c r="F545" t="s">
        <v>238</v>
      </c>
      <c r="G545" t="s">
        <v>7</v>
      </c>
      <c r="H545" t="s">
        <v>217</v>
      </c>
      <c r="I545" t="s">
        <v>217</v>
      </c>
      <c r="J545" t="s">
        <v>7</v>
      </c>
      <c r="K545" t="str">
        <f t="shared" si="8"/>
        <v>03840111</v>
      </c>
      <c r="L545">
        <v>5154000</v>
      </c>
      <c r="M545">
        <v>8433000</v>
      </c>
    </row>
    <row r="546" spans="1:13">
      <c r="A546" t="s">
        <v>122</v>
      </c>
      <c r="B546" t="s">
        <v>289</v>
      </c>
      <c r="C546" t="s">
        <v>143</v>
      </c>
      <c r="D546" t="s">
        <v>266</v>
      </c>
      <c r="E546" t="s">
        <v>237</v>
      </c>
      <c r="F546" t="s">
        <v>238</v>
      </c>
      <c r="G546" t="s">
        <v>7</v>
      </c>
      <c r="H546" t="s">
        <v>217</v>
      </c>
      <c r="I546" t="s">
        <v>217</v>
      </c>
      <c r="J546" t="s">
        <v>7</v>
      </c>
      <c r="K546" t="str">
        <f t="shared" si="8"/>
        <v>03850388</v>
      </c>
      <c r="L546">
        <v>41001000</v>
      </c>
      <c r="M546">
        <v>18001000</v>
      </c>
    </row>
    <row r="547" spans="1:13">
      <c r="A547" t="s">
        <v>122</v>
      </c>
      <c r="B547" t="s">
        <v>289</v>
      </c>
      <c r="C547" t="s">
        <v>116</v>
      </c>
      <c r="D547" t="s">
        <v>235</v>
      </c>
      <c r="E547" t="s">
        <v>237</v>
      </c>
      <c r="F547" t="s">
        <v>238</v>
      </c>
      <c r="G547" t="s">
        <v>7</v>
      </c>
      <c r="H547" t="s">
        <v>217</v>
      </c>
      <c r="I547" t="s">
        <v>217</v>
      </c>
      <c r="J547" t="s">
        <v>7</v>
      </c>
      <c r="K547" t="str">
        <f t="shared" si="8"/>
        <v>03850021</v>
      </c>
      <c r="L547">
        <v>41001000</v>
      </c>
      <c r="M547">
        <v>11001000</v>
      </c>
    </row>
    <row r="548" spans="1:13">
      <c r="A548" t="s">
        <v>122</v>
      </c>
      <c r="B548" t="s">
        <v>289</v>
      </c>
      <c r="C548" t="s">
        <v>117</v>
      </c>
      <c r="D548" t="s">
        <v>251</v>
      </c>
      <c r="E548" t="s">
        <v>237</v>
      </c>
      <c r="F548" t="s">
        <v>238</v>
      </c>
      <c r="G548" t="s">
        <v>7</v>
      </c>
      <c r="H548" t="s">
        <v>217</v>
      </c>
      <c r="I548" t="s">
        <v>217</v>
      </c>
      <c r="J548" t="s">
        <v>7</v>
      </c>
      <c r="K548" t="str">
        <f t="shared" si="8"/>
        <v>03850410</v>
      </c>
      <c r="L548">
        <v>41001000</v>
      </c>
      <c r="M548">
        <v>76892000</v>
      </c>
    </row>
    <row r="549" spans="1:13">
      <c r="A549" t="s">
        <v>122</v>
      </c>
      <c r="B549" t="s">
        <v>289</v>
      </c>
      <c r="C549" t="s">
        <v>177</v>
      </c>
      <c r="D549" t="s">
        <v>264</v>
      </c>
      <c r="E549" t="s">
        <v>237</v>
      </c>
      <c r="F549" t="s">
        <v>238</v>
      </c>
      <c r="G549" t="s">
        <v>7</v>
      </c>
      <c r="H549" t="s">
        <v>217</v>
      </c>
      <c r="I549" t="s">
        <v>217</v>
      </c>
      <c r="J549" t="s">
        <v>7</v>
      </c>
      <c r="K549" t="str">
        <f t="shared" si="8"/>
        <v>03850386</v>
      </c>
      <c r="L549">
        <v>41001000</v>
      </c>
      <c r="M549">
        <v>73001000</v>
      </c>
    </row>
    <row r="550" spans="1:13">
      <c r="A550" t="s">
        <v>122</v>
      </c>
      <c r="B550" t="s">
        <v>289</v>
      </c>
      <c r="C550" t="s">
        <v>170</v>
      </c>
      <c r="D550" t="s">
        <v>270</v>
      </c>
      <c r="E550" t="s">
        <v>237</v>
      </c>
      <c r="F550" t="s">
        <v>238</v>
      </c>
      <c r="G550" t="s">
        <v>7</v>
      </c>
      <c r="H550" t="s">
        <v>217</v>
      </c>
      <c r="I550" t="s">
        <v>217</v>
      </c>
      <c r="J550" t="s">
        <v>7</v>
      </c>
      <c r="K550" t="str">
        <f t="shared" si="8"/>
        <v>03850392</v>
      </c>
      <c r="L550">
        <v>41001000</v>
      </c>
      <c r="M550">
        <v>73001000</v>
      </c>
    </row>
    <row r="551" spans="1:13">
      <c r="A551" t="s">
        <v>122</v>
      </c>
      <c r="B551" t="s">
        <v>289</v>
      </c>
      <c r="C551" t="s">
        <v>126</v>
      </c>
      <c r="D551" t="s">
        <v>267</v>
      </c>
      <c r="E551" t="s">
        <v>237</v>
      </c>
      <c r="F551" t="s">
        <v>238</v>
      </c>
      <c r="G551" t="s">
        <v>7</v>
      </c>
      <c r="H551" t="s">
        <v>217</v>
      </c>
      <c r="I551" t="s">
        <v>217</v>
      </c>
      <c r="J551" t="s">
        <v>7</v>
      </c>
      <c r="K551" t="str">
        <f t="shared" si="8"/>
        <v>03850389</v>
      </c>
      <c r="L551">
        <v>41001000</v>
      </c>
      <c r="M551">
        <v>73001000</v>
      </c>
    </row>
    <row r="552" spans="1:13">
      <c r="A552" t="s">
        <v>122</v>
      </c>
      <c r="B552" t="s">
        <v>289</v>
      </c>
      <c r="C552" t="s">
        <v>119</v>
      </c>
      <c r="D552" t="s">
        <v>274</v>
      </c>
      <c r="E552" t="s">
        <v>237</v>
      </c>
      <c r="F552" t="s">
        <v>238</v>
      </c>
      <c r="G552" t="s">
        <v>7</v>
      </c>
      <c r="H552" t="s">
        <v>217</v>
      </c>
      <c r="I552" t="s">
        <v>217</v>
      </c>
      <c r="J552" t="s">
        <v>7</v>
      </c>
      <c r="K552" t="str">
        <f t="shared" si="8"/>
        <v>03850111</v>
      </c>
      <c r="L552">
        <v>41001000</v>
      </c>
      <c r="M552">
        <v>8433000</v>
      </c>
    </row>
    <row r="553" spans="1:13">
      <c r="A553" t="s">
        <v>122</v>
      </c>
      <c r="B553" t="s">
        <v>289</v>
      </c>
      <c r="C553" t="s">
        <v>138</v>
      </c>
      <c r="D553" t="s">
        <v>265</v>
      </c>
      <c r="E553" t="s">
        <v>237</v>
      </c>
      <c r="F553" t="s">
        <v>238</v>
      </c>
      <c r="G553" t="s">
        <v>7</v>
      </c>
      <c r="H553" t="s">
        <v>217</v>
      </c>
      <c r="I553" t="s">
        <v>217</v>
      </c>
      <c r="J553" t="s">
        <v>7</v>
      </c>
      <c r="K553" t="str">
        <f t="shared" si="8"/>
        <v>03850387</v>
      </c>
      <c r="L553">
        <v>41001000</v>
      </c>
      <c r="M553">
        <v>41298000</v>
      </c>
    </row>
    <row r="554" spans="1:13">
      <c r="A554" t="s">
        <v>122</v>
      </c>
      <c r="B554" t="s">
        <v>289</v>
      </c>
      <c r="C554" t="s">
        <v>140</v>
      </c>
      <c r="D554" t="s">
        <v>243</v>
      </c>
      <c r="E554" t="s">
        <v>237</v>
      </c>
      <c r="F554" t="s">
        <v>238</v>
      </c>
      <c r="G554" t="s">
        <v>7</v>
      </c>
      <c r="H554" t="s">
        <v>217</v>
      </c>
      <c r="I554" t="s">
        <v>217</v>
      </c>
      <c r="J554" t="s">
        <v>7</v>
      </c>
      <c r="K554" t="str">
        <f t="shared" si="8"/>
        <v>03850113</v>
      </c>
      <c r="L554">
        <v>41001000</v>
      </c>
      <c r="M554">
        <v>13001000</v>
      </c>
    </row>
    <row r="555" spans="1:13">
      <c r="A555" t="s">
        <v>122</v>
      </c>
      <c r="B555" t="s">
        <v>289</v>
      </c>
      <c r="C555" t="s">
        <v>123</v>
      </c>
      <c r="D555" t="s">
        <v>263</v>
      </c>
      <c r="E555" t="s">
        <v>237</v>
      </c>
      <c r="F555" t="s">
        <v>238</v>
      </c>
      <c r="G555" t="s">
        <v>7</v>
      </c>
      <c r="H555" t="s">
        <v>217</v>
      </c>
      <c r="I555" t="s">
        <v>217</v>
      </c>
      <c r="J555" t="s">
        <v>7</v>
      </c>
      <c r="K555" t="str">
        <f t="shared" si="8"/>
        <v>03850292</v>
      </c>
      <c r="L555">
        <v>41001000</v>
      </c>
      <c r="M555">
        <v>5001000</v>
      </c>
    </row>
    <row r="556" spans="1:13">
      <c r="A556" t="s">
        <v>122</v>
      </c>
      <c r="B556" t="s">
        <v>289</v>
      </c>
      <c r="C556" t="s">
        <v>171</v>
      </c>
      <c r="D556" t="s">
        <v>269</v>
      </c>
      <c r="E556" t="s">
        <v>237</v>
      </c>
      <c r="F556" t="s">
        <v>238</v>
      </c>
      <c r="G556" t="s">
        <v>7</v>
      </c>
      <c r="H556" t="s">
        <v>217</v>
      </c>
      <c r="I556" t="s">
        <v>217</v>
      </c>
      <c r="J556" t="s">
        <v>7</v>
      </c>
      <c r="K556" t="str">
        <f t="shared" si="8"/>
        <v>03850391</v>
      </c>
      <c r="L556">
        <v>41001000</v>
      </c>
      <c r="M556">
        <v>11001000</v>
      </c>
    </row>
    <row r="557" spans="1:13">
      <c r="A557" t="s">
        <v>122</v>
      </c>
      <c r="B557" t="s">
        <v>289</v>
      </c>
      <c r="C557" t="s">
        <v>180</v>
      </c>
      <c r="D557" t="s">
        <v>240</v>
      </c>
      <c r="E557" t="s">
        <v>237</v>
      </c>
      <c r="F557" t="s">
        <v>238</v>
      </c>
      <c r="G557" t="s">
        <v>7</v>
      </c>
      <c r="H557" t="s">
        <v>217</v>
      </c>
      <c r="I557" t="s">
        <v>217</v>
      </c>
      <c r="J557" t="s">
        <v>7</v>
      </c>
      <c r="K557" t="str">
        <f t="shared" si="8"/>
        <v>03850025</v>
      </c>
      <c r="L557">
        <v>41001000</v>
      </c>
      <c r="M557">
        <v>11001000</v>
      </c>
    </row>
    <row r="558" spans="1:13">
      <c r="A558" t="s">
        <v>122</v>
      </c>
      <c r="B558" t="s">
        <v>289</v>
      </c>
      <c r="C558" t="s">
        <v>184</v>
      </c>
      <c r="D558" t="s">
        <v>239</v>
      </c>
      <c r="E558" t="s">
        <v>237</v>
      </c>
      <c r="F558" t="s">
        <v>238</v>
      </c>
      <c r="G558" t="s">
        <v>7</v>
      </c>
      <c r="H558" t="s">
        <v>217</v>
      </c>
      <c r="I558" t="s">
        <v>217</v>
      </c>
      <c r="J558" t="s">
        <v>7</v>
      </c>
      <c r="K558" t="str">
        <f t="shared" si="8"/>
        <v>03850024</v>
      </c>
      <c r="L558">
        <v>41001000</v>
      </c>
      <c r="M558">
        <v>11001000</v>
      </c>
    </row>
    <row r="559" spans="1:13">
      <c r="A559" t="s">
        <v>122</v>
      </c>
      <c r="B559" t="s">
        <v>289</v>
      </c>
      <c r="C559" t="s">
        <v>132</v>
      </c>
      <c r="D559" t="s">
        <v>255</v>
      </c>
      <c r="E559" t="s">
        <v>237</v>
      </c>
      <c r="F559" t="s">
        <v>238</v>
      </c>
      <c r="G559" t="s">
        <v>7</v>
      </c>
      <c r="H559" t="s">
        <v>217</v>
      </c>
      <c r="I559" t="s">
        <v>217</v>
      </c>
      <c r="J559" t="s">
        <v>7</v>
      </c>
      <c r="K559" t="str">
        <f t="shared" si="8"/>
        <v>03850441</v>
      </c>
      <c r="L559">
        <v>41001000</v>
      </c>
      <c r="M559">
        <v>15238000</v>
      </c>
    </row>
    <row r="560" spans="1:13">
      <c r="A560" t="s">
        <v>122</v>
      </c>
      <c r="B560" t="s">
        <v>289</v>
      </c>
      <c r="C560" t="s">
        <v>121</v>
      </c>
      <c r="D560" t="s">
        <v>282</v>
      </c>
      <c r="E560" t="s">
        <v>237</v>
      </c>
      <c r="F560" t="s">
        <v>238</v>
      </c>
      <c r="G560" t="s">
        <v>7</v>
      </c>
      <c r="H560" t="s">
        <v>217</v>
      </c>
      <c r="I560" t="s">
        <v>217</v>
      </c>
      <c r="J560" t="s">
        <v>7</v>
      </c>
      <c r="K560" t="str">
        <f t="shared" si="8"/>
        <v>03850438</v>
      </c>
      <c r="L560">
        <v>41001000</v>
      </c>
      <c r="M560">
        <v>54001000</v>
      </c>
    </row>
    <row r="561" spans="1:13">
      <c r="A561" t="s">
        <v>122</v>
      </c>
      <c r="B561" t="s">
        <v>289</v>
      </c>
      <c r="C561" t="s">
        <v>120</v>
      </c>
      <c r="D561" t="s">
        <v>292</v>
      </c>
      <c r="E561" t="s">
        <v>237</v>
      </c>
      <c r="F561" t="s">
        <v>238</v>
      </c>
      <c r="G561" t="s">
        <v>7</v>
      </c>
      <c r="H561" t="s">
        <v>217</v>
      </c>
      <c r="I561" t="s">
        <v>217</v>
      </c>
      <c r="J561" t="s">
        <v>7</v>
      </c>
      <c r="K561" t="str">
        <f t="shared" si="8"/>
        <v>03850422</v>
      </c>
      <c r="L561">
        <v>41001000</v>
      </c>
      <c r="M561">
        <v>68001000</v>
      </c>
    </row>
    <row r="562" spans="1:13">
      <c r="A562" t="s">
        <v>122</v>
      </c>
      <c r="B562" t="s">
        <v>289</v>
      </c>
      <c r="C562" t="s">
        <v>125</v>
      </c>
      <c r="D562" t="s">
        <v>277</v>
      </c>
      <c r="E562" t="s">
        <v>237</v>
      </c>
      <c r="F562" t="s">
        <v>238</v>
      </c>
      <c r="G562" t="s">
        <v>7</v>
      </c>
      <c r="H562" t="s">
        <v>217</v>
      </c>
      <c r="I562" t="s">
        <v>217</v>
      </c>
      <c r="J562" t="s">
        <v>7</v>
      </c>
      <c r="K562" t="str">
        <f t="shared" si="8"/>
        <v>03850445</v>
      </c>
      <c r="L562">
        <v>41001000</v>
      </c>
      <c r="M562">
        <v>19142000</v>
      </c>
    </row>
    <row r="563" spans="1:13">
      <c r="A563" t="s">
        <v>122</v>
      </c>
      <c r="B563" t="s">
        <v>289</v>
      </c>
      <c r="C563" t="s">
        <v>163</v>
      </c>
      <c r="D563" t="s">
        <v>275</v>
      </c>
      <c r="E563" t="s">
        <v>237</v>
      </c>
      <c r="F563" t="s">
        <v>238</v>
      </c>
      <c r="G563" t="s">
        <v>7</v>
      </c>
      <c r="H563" t="s">
        <v>217</v>
      </c>
      <c r="I563" t="s">
        <v>217</v>
      </c>
      <c r="J563" t="s">
        <v>7</v>
      </c>
      <c r="K563" t="str">
        <f t="shared" si="8"/>
        <v>03850032</v>
      </c>
      <c r="L563">
        <v>41001000</v>
      </c>
      <c r="M563">
        <v>11001000</v>
      </c>
    </row>
    <row r="564" spans="1:13">
      <c r="A564" t="s">
        <v>122</v>
      </c>
      <c r="B564" t="s">
        <v>289</v>
      </c>
      <c r="C564" t="s">
        <v>135</v>
      </c>
      <c r="D564" t="s">
        <v>290</v>
      </c>
      <c r="E564" t="s">
        <v>237</v>
      </c>
      <c r="F564" t="s">
        <v>238</v>
      </c>
      <c r="G564" t="s">
        <v>7</v>
      </c>
      <c r="H564" t="s">
        <v>217</v>
      </c>
      <c r="I564" t="s">
        <v>217</v>
      </c>
      <c r="J564" t="s">
        <v>7</v>
      </c>
      <c r="K564" t="str">
        <f t="shared" si="8"/>
        <v>03850393</v>
      </c>
      <c r="L564">
        <v>41001000</v>
      </c>
      <c r="M564">
        <v>50001000</v>
      </c>
    </row>
    <row r="565" spans="1:13">
      <c r="A565" t="s">
        <v>138</v>
      </c>
      <c r="B565" t="s">
        <v>265</v>
      </c>
      <c r="C565" t="s">
        <v>125</v>
      </c>
      <c r="D565" t="s">
        <v>277</v>
      </c>
      <c r="E565" t="s">
        <v>237</v>
      </c>
      <c r="F565" t="s">
        <v>238</v>
      </c>
      <c r="G565" t="s">
        <v>7</v>
      </c>
      <c r="H565" t="s">
        <v>217</v>
      </c>
      <c r="I565" t="s">
        <v>217</v>
      </c>
      <c r="J565" t="s">
        <v>7</v>
      </c>
      <c r="K565" t="str">
        <f t="shared" si="8"/>
        <v>03870445</v>
      </c>
      <c r="L565">
        <v>41001000</v>
      </c>
      <c r="M565">
        <v>19142000</v>
      </c>
    </row>
    <row r="566" spans="1:13">
      <c r="A566" t="s">
        <v>138</v>
      </c>
      <c r="B566" t="s">
        <v>265</v>
      </c>
      <c r="C566" t="s">
        <v>117</v>
      </c>
      <c r="D566" t="s">
        <v>251</v>
      </c>
      <c r="E566" t="s">
        <v>237</v>
      </c>
      <c r="F566" t="s">
        <v>238</v>
      </c>
      <c r="G566" t="s">
        <v>7</v>
      </c>
      <c r="H566" t="s">
        <v>217</v>
      </c>
      <c r="I566" t="s">
        <v>217</v>
      </c>
      <c r="J566" t="s">
        <v>7</v>
      </c>
      <c r="K566" t="str">
        <f t="shared" si="8"/>
        <v>03870410</v>
      </c>
      <c r="L566">
        <v>41001000</v>
      </c>
      <c r="M566">
        <v>76892000</v>
      </c>
    </row>
    <row r="567" spans="1:13">
      <c r="A567" t="s">
        <v>143</v>
      </c>
      <c r="B567" t="s">
        <v>266</v>
      </c>
      <c r="C567" t="s">
        <v>122</v>
      </c>
      <c r="D567" t="s">
        <v>289</v>
      </c>
      <c r="E567" t="s">
        <v>237</v>
      </c>
      <c r="F567" t="s">
        <v>238</v>
      </c>
      <c r="G567" t="s">
        <v>7</v>
      </c>
      <c r="H567" t="s">
        <v>217</v>
      </c>
      <c r="I567" t="s">
        <v>217</v>
      </c>
      <c r="J567" t="s">
        <v>7</v>
      </c>
      <c r="K567" t="str">
        <f t="shared" si="8"/>
        <v>03880385</v>
      </c>
      <c r="L567">
        <v>18001000</v>
      </c>
      <c r="M567">
        <v>41001000</v>
      </c>
    </row>
    <row r="568" spans="1:13">
      <c r="A568" t="s">
        <v>143</v>
      </c>
      <c r="B568" t="s">
        <v>266</v>
      </c>
      <c r="C568" t="s">
        <v>117</v>
      </c>
      <c r="D568" t="s">
        <v>251</v>
      </c>
      <c r="E568" t="s">
        <v>237</v>
      </c>
      <c r="F568" t="s">
        <v>238</v>
      </c>
      <c r="G568" t="s">
        <v>7</v>
      </c>
      <c r="H568" t="s">
        <v>217</v>
      </c>
      <c r="I568" t="s">
        <v>217</v>
      </c>
      <c r="J568" t="s">
        <v>7</v>
      </c>
      <c r="K568" t="str">
        <f t="shared" si="8"/>
        <v>03880410</v>
      </c>
      <c r="L568">
        <v>18001000</v>
      </c>
      <c r="M568">
        <v>76892000</v>
      </c>
    </row>
    <row r="569" spans="1:13">
      <c r="A569" t="s">
        <v>143</v>
      </c>
      <c r="B569" t="s">
        <v>266</v>
      </c>
      <c r="C569" t="s">
        <v>125</v>
      </c>
      <c r="D569" t="s">
        <v>277</v>
      </c>
      <c r="E569" t="s">
        <v>237</v>
      </c>
      <c r="F569" t="s">
        <v>238</v>
      </c>
      <c r="G569" t="s">
        <v>7</v>
      </c>
      <c r="H569" t="s">
        <v>217</v>
      </c>
      <c r="I569" t="s">
        <v>217</v>
      </c>
      <c r="J569" t="s">
        <v>7</v>
      </c>
      <c r="K569" t="str">
        <f t="shared" si="8"/>
        <v>03880445</v>
      </c>
      <c r="L569">
        <v>18001000</v>
      </c>
      <c r="M569">
        <v>76001000</v>
      </c>
    </row>
    <row r="570" spans="1:13">
      <c r="A570" t="s">
        <v>126</v>
      </c>
      <c r="B570" t="s">
        <v>267</v>
      </c>
      <c r="C570" t="s">
        <v>170</v>
      </c>
      <c r="D570" t="s">
        <v>270</v>
      </c>
      <c r="E570" t="s">
        <v>237</v>
      </c>
      <c r="F570" t="s">
        <v>238</v>
      </c>
      <c r="G570" t="s">
        <v>7</v>
      </c>
      <c r="H570" t="s">
        <v>217</v>
      </c>
      <c r="I570" t="s">
        <v>217</v>
      </c>
      <c r="J570" t="s">
        <v>7</v>
      </c>
      <c r="K570" t="str">
        <f t="shared" si="8"/>
        <v>03890392</v>
      </c>
      <c r="L570">
        <v>73001000</v>
      </c>
      <c r="M570">
        <v>73443000</v>
      </c>
    </row>
    <row r="571" spans="1:13">
      <c r="A571" t="s">
        <v>126</v>
      </c>
      <c r="B571" t="s">
        <v>267</v>
      </c>
      <c r="C571" t="s">
        <v>117</v>
      </c>
      <c r="D571" t="s">
        <v>251</v>
      </c>
      <c r="E571" t="s">
        <v>237</v>
      </c>
      <c r="F571" t="s">
        <v>238</v>
      </c>
      <c r="G571" t="s">
        <v>7</v>
      </c>
      <c r="H571" t="s">
        <v>217</v>
      </c>
      <c r="I571" t="s">
        <v>217</v>
      </c>
      <c r="J571" t="s">
        <v>7</v>
      </c>
      <c r="K571" t="str">
        <f t="shared" si="8"/>
        <v>03890410</v>
      </c>
      <c r="L571">
        <v>73001000</v>
      </c>
      <c r="M571">
        <v>76892000</v>
      </c>
    </row>
    <row r="572" spans="1:13">
      <c r="A572" t="s">
        <v>126</v>
      </c>
      <c r="B572" t="s">
        <v>267</v>
      </c>
      <c r="C572" t="s">
        <v>127</v>
      </c>
      <c r="D572" t="s">
        <v>268</v>
      </c>
      <c r="E572" t="s">
        <v>237</v>
      </c>
      <c r="F572" t="s">
        <v>238</v>
      </c>
      <c r="G572" t="s">
        <v>7</v>
      </c>
      <c r="H572" t="s">
        <v>217</v>
      </c>
      <c r="I572" t="s">
        <v>217</v>
      </c>
      <c r="J572" t="s">
        <v>7</v>
      </c>
      <c r="K572" t="str">
        <f t="shared" si="8"/>
        <v>03890390</v>
      </c>
      <c r="L572">
        <v>73001000</v>
      </c>
      <c r="M572">
        <v>25307000</v>
      </c>
    </row>
    <row r="573" spans="1:13">
      <c r="A573" t="s">
        <v>126</v>
      </c>
      <c r="B573" t="s">
        <v>267</v>
      </c>
      <c r="C573" t="s">
        <v>125</v>
      </c>
      <c r="D573" t="s">
        <v>277</v>
      </c>
      <c r="E573" t="s">
        <v>237</v>
      </c>
      <c r="F573" t="s">
        <v>238</v>
      </c>
      <c r="G573" t="s">
        <v>7</v>
      </c>
      <c r="H573" t="s">
        <v>217</v>
      </c>
      <c r="I573" t="s">
        <v>217</v>
      </c>
      <c r="J573" t="s">
        <v>7</v>
      </c>
      <c r="K573" t="str">
        <f t="shared" si="8"/>
        <v>03890445</v>
      </c>
      <c r="L573">
        <v>73001000</v>
      </c>
      <c r="M573">
        <v>76001000</v>
      </c>
    </row>
    <row r="574" spans="1:13">
      <c r="A574" t="s">
        <v>127</v>
      </c>
      <c r="B574" t="s">
        <v>268</v>
      </c>
      <c r="C574" t="s">
        <v>117</v>
      </c>
      <c r="D574" t="s">
        <v>251</v>
      </c>
      <c r="E574" t="s">
        <v>237</v>
      </c>
      <c r="F574" t="s">
        <v>238</v>
      </c>
      <c r="G574" t="s">
        <v>7</v>
      </c>
      <c r="H574" t="s">
        <v>217</v>
      </c>
      <c r="I574" t="s">
        <v>217</v>
      </c>
      <c r="J574" t="s">
        <v>7</v>
      </c>
      <c r="K574" t="str">
        <f t="shared" si="8"/>
        <v>03900410</v>
      </c>
      <c r="L574">
        <v>73001000</v>
      </c>
      <c r="M574">
        <v>76892000</v>
      </c>
    </row>
    <row r="575" spans="1:13">
      <c r="A575" t="s">
        <v>127</v>
      </c>
      <c r="B575" t="s">
        <v>268</v>
      </c>
      <c r="C575" t="s">
        <v>125</v>
      </c>
      <c r="D575" t="s">
        <v>277</v>
      </c>
      <c r="E575" t="s">
        <v>237</v>
      </c>
      <c r="F575" t="s">
        <v>238</v>
      </c>
      <c r="G575" t="s">
        <v>7</v>
      </c>
      <c r="H575" t="s">
        <v>217</v>
      </c>
      <c r="I575" t="s">
        <v>217</v>
      </c>
      <c r="J575" t="s">
        <v>7</v>
      </c>
      <c r="K575" t="str">
        <f t="shared" si="8"/>
        <v>03900445</v>
      </c>
      <c r="L575">
        <v>73001000</v>
      </c>
      <c r="M575">
        <v>76001000</v>
      </c>
    </row>
    <row r="576" spans="1:13">
      <c r="A576" t="s">
        <v>127</v>
      </c>
      <c r="B576" t="s">
        <v>268</v>
      </c>
      <c r="C576" t="s">
        <v>131</v>
      </c>
      <c r="D576" t="s">
        <v>278</v>
      </c>
      <c r="E576" t="s">
        <v>237</v>
      </c>
      <c r="F576" t="s">
        <v>238</v>
      </c>
      <c r="G576" t="s">
        <v>7</v>
      </c>
      <c r="H576" t="s">
        <v>217</v>
      </c>
      <c r="I576" t="s">
        <v>217</v>
      </c>
      <c r="J576" t="s">
        <v>7</v>
      </c>
      <c r="K576" t="str">
        <f t="shared" si="8"/>
        <v>03900035</v>
      </c>
      <c r="L576">
        <v>25612000</v>
      </c>
      <c r="M576">
        <v>11001000</v>
      </c>
    </row>
    <row r="577" spans="1:13">
      <c r="A577" t="s">
        <v>171</v>
      </c>
      <c r="B577" t="s">
        <v>269</v>
      </c>
      <c r="C577" t="s">
        <v>170</v>
      </c>
      <c r="D577" t="s">
        <v>270</v>
      </c>
      <c r="E577" t="s">
        <v>237</v>
      </c>
      <c r="F577" t="s">
        <v>238</v>
      </c>
      <c r="G577" t="s">
        <v>7</v>
      </c>
      <c r="H577" t="s">
        <v>217</v>
      </c>
      <c r="I577" t="s">
        <v>217</v>
      </c>
      <c r="J577" t="s">
        <v>7</v>
      </c>
      <c r="K577" t="str">
        <f t="shared" si="8"/>
        <v>03910392</v>
      </c>
      <c r="L577">
        <v>17380000</v>
      </c>
      <c r="M577">
        <v>73443000</v>
      </c>
    </row>
    <row r="578" spans="1:13">
      <c r="A578" t="s">
        <v>171</v>
      </c>
      <c r="B578" t="s">
        <v>269</v>
      </c>
      <c r="C578" t="s">
        <v>116</v>
      </c>
      <c r="D578" t="s">
        <v>235</v>
      </c>
      <c r="E578" t="s">
        <v>237</v>
      </c>
      <c r="F578" t="s">
        <v>238</v>
      </c>
      <c r="G578" t="s">
        <v>7</v>
      </c>
      <c r="H578" t="s">
        <v>217</v>
      </c>
      <c r="I578" t="s">
        <v>217</v>
      </c>
      <c r="J578" t="s">
        <v>7</v>
      </c>
      <c r="K578" t="str">
        <f t="shared" si="8"/>
        <v>03910021</v>
      </c>
      <c r="L578">
        <v>17380000</v>
      </c>
      <c r="M578">
        <v>11001000</v>
      </c>
    </row>
    <row r="579" spans="1:13">
      <c r="A579" t="s">
        <v>171</v>
      </c>
      <c r="B579" t="s">
        <v>269</v>
      </c>
      <c r="C579" t="s">
        <v>117</v>
      </c>
      <c r="D579" t="s">
        <v>251</v>
      </c>
      <c r="E579" t="s">
        <v>237</v>
      </c>
      <c r="F579" t="s">
        <v>238</v>
      </c>
      <c r="G579" t="s">
        <v>7</v>
      </c>
      <c r="H579" t="s">
        <v>217</v>
      </c>
      <c r="I579" t="s">
        <v>217</v>
      </c>
      <c r="J579" t="s">
        <v>7</v>
      </c>
      <c r="K579" t="str">
        <f t="shared" ref="K579:K642" si="9">A579&amp;C579</f>
        <v>03910410</v>
      </c>
      <c r="L579">
        <v>11001000</v>
      </c>
      <c r="M579">
        <v>76892000</v>
      </c>
    </row>
    <row r="580" spans="1:13">
      <c r="A580" t="s">
        <v>171</v>
      </c>
      <c r="B580" t="s">
        <v>269</v>
      </c>
      <c r="C580" t="s">
        <v>145</v>
      </c>
      <c r="D580" t="s">
        <v>254</v>
      </c>
      <c r="E580" t="s">
        <v>237</v>
      </c>
      <c r="F580" t="s">
        <v>238</v>
      </c>
      <c r="G580" t="s">
        <v>7</v>
      </c>
      <c r="H580" t="s">
        <v>217</v>
      </c>
      <c r="I580" t="s">
        <v>217</v>
      </c>
      <c r="J580" t="s">
        <v>7</v>
      </c>
      <c r="K580" t="str">
        <f t="shared" si="9"/>
        <v>03910358</v>
      </c>
      <c r="L580">
        <v>11001000</v>
      </c>
      <c r="M580">
        <v>76364000</v>
      </c>
    </row>
    <row r="581" spans="1:13">
      <c r="A581" t="s">
        <v>171</v>
      </c>
      <c r="B581" t="s">
        <v>269</v>
      </c>
      <c r="C581" t="s">
        <v>147</v>
      </c>
      <c r="D581" t="s">
        <v>236</v>
      </c>
      <c r="E581" t="s">
        <v>237</v>
      </c>
      <c r="F581" t="s">
        <v>238</v>
      </c>
      <c r="G581" t="s">
        <v>7</v>
      </c>
      <c r="H581" t="s">
        <v>217</v>
      </c>
      <c r="I581" t="s">
        <v>217</v>
      </c>
      <c r="J581" t="s">
        <v>7</v>
      </c>
      <c r="K581" t="str">
        <f t="shared" si="9"/>
        <v>03910022</v>
      </c>
      <c r="L581">
        <v>17380000</v>
      </c>
      <c r="M581">
        <v>11001000</v>
      </c>
    </row>
    <row r="582" spans="1:13">
      <c r="A582" t="s">
        <v>170</v>
      </c>
      <c r="B582" t="s">
        <v>270</v>
      </c>
      <c r="C582" t="s">
        <v>126</v>
      </c>
      <c r="D582" t="s">
        <v>267</v>
      </c>
      <c r="E582" t="s">
        <v>237</v>
      </c>
      <c r="F582" t="s">
        <v>238</v>
      </c>
      <c r="G582" t="s">
        <v>7</v>
      </c>
      <c r="H582" t="s">
        <v>217</v>
      </c>
      <c r="I582" t="s">
        <v>217</v>
      </c>
      <c r="J582" t="s">
        <v>7</v>
      </c>
      <c r="K582" t="str">
        <f t="shared" si="9"/>
        <v>03920389</v>
      </c>
      <c r="L582">
        <v>73443000</v>
      </c>
      <c r="M582">
        <v>73001000</v>
      </c>
    </row>
    <row r="583" spans="1:13">
      <c r="A583" t="s">
        <v>170</v>
      </c>
      <c r="B583" t="s">
        <v>270</v>
      </c>
      <c r="C583" t="s">
        <v>117</v>
      </c>
      <c r="D583" t="s">
        <v>251</v>
      </c>
      <c r="E583" t="s">
        <v>237</v>
      </c>
      <c r="F583" t="s">
        <v>238</v>
      </c>
      <c r="G583" t="s">
        <v>7</v>
      </c>
      <c r="H583" t="s">
        <v>217</v>
      </c>
      <c r="I583" t="s">
        <v>217</v>
      </c>
      <c r="J583" t="s">
        <v>7</v>
      </c>
      <c r="K583" t="str">
        <f t="shared" si="9"/>
        <v>03920410</v>
      </c>
      <c r="L583">
        <v>73001000</v>
      </c>
      <c r="M583">
        <v>76892000</v>
      </c>
    </row>
    <row r="584" spans="1:13">
      <c r="A584" t="s">
        <v>170</v>
      </c>
      <c r="B584" t="s">
        <v>270</v>
      </c>
      <c r="C584" t="s">
        <v>127</v>
      </c>
      <c r="D584" t="s">
        <v>268</v>
      </c>
      <c r="E584" t="s">
        <v>237</v>
      </c>
      <c r="F584" t="s">
        <v>238</v>
      </c>
      <c r="G584" t="s">
        <v>7</v>
      </c>
      <c r="H584" t="s">
        <v>217</v>
      </c>
      <c r="I584" t="s">
        <v>217</v>
      </c>
      <c r="J584" t="s">
        <v>7</v>
      </c>
      <c r="K584" t="str">
        <f t="shared" si="9"/>
        <v>03920390</v>
      </c>
      <c r="L584">
        <v>73443000</v>
      </c>
      <c r="M584">
        <v>73001000</v>
      </c>
    </row>
    <row r="585" spans="1:13">
      <c r="A585" t="s">
        <v>170</v>
      </c>
      <c r="B585" t="s">
        <v>270</v>
      </c>
      <c r="C585" t="s">
        <v>180</v>
      </c>
      <c r="D585" t="s">
        <v>240</v>
      </c>
      <c r="E585" t="s">
        <v>237</v>
      </c>
      <c r="F585" t="s">
        <v>238</v>
      </c>
      <c r="G585" t="s">
        <v>7</v>
      </c>
      <c r="H585" t="s">
        <v>217</v>
      </c>
      <c r="I585" t="s">
        <v>217</v>
      </c>
      <c r="J585" t="s">
        <v>7</v>
      </c>
      <c r="K585" t="str">
        <f t="shared" si="9"/>
        <v>03920025</v>
      </c>
      <c r="L585">
        <v>73443000</v>
      </c>
      <c r="M585">
        <v>11001000</v>
      </c>
    </row>
    <row r="586" spans="1:13">
      <c r="A586" t="s">
        <v>170</v>
      </c>
      <c r="B586" t="s">
        <v>270</v>
      </c>
      <c r="C586" t="s">
        <v>125</v>
      </c>
      <c r="D586" t="s">
        <v>277</v>
      </c>
      <c r="E586" t="s">
        <v>237</v>
      </c>
      <c r="F586" t="s">
        <v>238</v>
      </c>
      <c r="G586" t="s">
        <v>7</v>
      </c>
      <c r="H586" t="s">
        <v>217</v>
      </c>
      <c r="I586" t="s">
        <v>217</v>
      </c>
      <c r="J586" t="s">
        <v>7</v>
      </c>
      <c r="K586" t="str">
        <f t="shared" si="9"/>
        <v>03920445</v>
      </c>
      <c r="L586">
        <v>73001000</v>
      </c>
      <c r="M586">
        <v>76001000</v>
      </c>
    </row>
    <row r="587" spans="1:13">
      <c r="A587" t="s">
        <v>135</v>
      </c>
      <c r="B587" t="s">
        <v>290</v>
      </c>
      <c r="C587" t="s">
        <v>116</v>
      </c>
      <c r="D587" t="s">
        <v>235</v>
      </c>
      <c r="E587" t="s">
        <v>237</v>
      </c>
      <c r="F587" t="s">
        <v>238</v>
      </c>
      <c r="G587" t="s">
        <v>7</v>
      </c>
      <c r="H587" t="s">
        <v>217</v>
      </c>
      <c r="I587" t="s">
        <v>217</v>
      </c>
      <c r="J587" t="s">
        <v>7</v>
      </c>
      <c r="K587" t="str">
        <f t="shared" si="9"/>
        <v>03930021</v>
      </c>
      <c r="L587">
        <v>50001000</v>
      </c>
      <c r="M587">
        <v>11001000</v>
      </c>
    </row>
    <row r="588" spans="1:13">
      <c r="A588" t="s">
        <v>135</v>
      </c>
      <c r="B588" t="s">
        <v>290</v>
      </c>
      <c r="C588" t="s">
        <v>150</v>
      </c>
      <c r="D588" t="s">
        <v>256</v>
      </c>
      <c r="E588" t="s">
        <v>237</v>
      </c>
      <c r="F588" t="s">
        <v>238</v>
      </c>
      <c r="G588" t="s">
        <v>7</v>
      </c>
      <c r="H588" t="s">
        <v>217</v>
      </c>
      <c r="I588" t="s">
        <v>217</v>
      </c>
      <c r="J588" t="s">
        <v>7</v>
      </c>
      <c r="K588" t="str">
        <f t="shared" si="9"/>
        <v>03930394</v>
      </c>
      <c r="L588">
        <v>50001000</v>
      </c>
      <c r="M588">
        <v>50313000</v>
      </c>
    </row>
    <row r="589" spans="1:13">
      <c r="A589" t="s">
        <v>135</v>
      </c>
      <c r="B589" t="s">
        <v>290</v>
      </c>
      <c r="C589" t="s">
        <v>117</v>
      </c>
      <c r="D589" t="s">
        <v>251</v>
      </c>
      <c r="E589" t="s">
        <v>237</v>
      </c>
      <c r="F589" t="s">
        <v>238</v>
      </c>
      <c r="G589" t="s">
        <v>7</v>
      </c>
      <c r="H589" t="s">
        <v>217</v>
      </c>
      <c r="I589" t="s">
        <v>217</v>
      </c>
      <c r="J589" t="s">
        <v>7</v>
      </c>
      <c r="K589" t="str">
        <f t="shared" si="9"/>
        <v>03930410</v>
      </c>
      <c r="L589">
        <v>50001000</v>
      </c>
      <c r="M589">
        <v>76892000</v>
      </c>
    </row>
    <row r="590" spans="1:13">
      <c r="A590" t="s">
        <v>135</v>
      </c>
      <c r="B590" t="s">
        <v>290</v>
      </c>
      <c r="C590" t="s">
        <v>154</v>
      </c>
      <c r="D590" t="s">
        <v>283</v>
      </c>
      <c r="E590" t="s">
        <v>237</v>
      </c>
      <c r="F590" t="s">
        <v>238</v>
      </c>
      <c r="G590" t="s">
        <v>7</v>
      </c>
      <c r="H590" t="s">
        <v>217</v>
      </c>
      <c r="I590" t="s">
        <v>217</v>
      </c>
      <c r="J590" t="s">
        <v>7</v>
      </c>
      <c r="K590" t="str">
        <f t="shared" si="9"/>
        <v>03930442</v>
      </c>
      <c r="L590">
        <v>50001000</v>
      </c>
      <c r="M590">
        <v>85001000</v>
      </c>
    </row>
    <row r="591" spans="1:13">
      <c r="A591" t="s">
        <v>135</v>
      </c>
      <c r="B591" t="s">
        <v>290</v>
      </c>
      <c r="C591" t="s">
        <v>132</v>
      </c>
      <c r="D591" t="s">
        <v>255</v>
      </c>
      <c r="E591" t="s">
        <v>237</v>
      </c>
      <c r="F591" t="s">
        <v>238</v>
      </c>
      <c r="G591" t="s">
        <v>7</v>
      </c>
      <c r="H591" t="s">
        <v>217</v>
      </c>
      <c r="I591" t="s">
        <v>217</v>
      </c>
      <c r="J591" t="s">
        <v>7</v>
      </c>
      <c r="K591" t="str">
        <f t="shared" si="9"/>
        <v>03930441</v>
      </c>
      <c r="L591">
        <v>50001000</v>
      </c>
      <c r="M591">
        <v>15238000</v>
      </c>
    </row>
    <row r="592" spans="1:13">
      <c r="A592" t="s">
        <v>135</v>
      </c>
      <c r="B592" t="s">
        <v>290</v>
      </c>
      <c r="C592" t="s">
        <v>119</v>
      </c>
      <c r="D592" t="s">
        <v>274</v>
      </c>
      <c r="E592" t="s">
        <v>237</v>
      </c>
      <c r="F592" t="s">
        <v>238</v>
      </c>
      <c r="G592" t="s">
        <v>7</v>
      </c>
      <c r="H592" t="s">
        <v>217</v>
      </c>
      <c r="I592" t="s">
        <v>217</v>
      </c>
      <c r="J592" t="s">
        <v>7</v>
      </c>
      <c r="K592" t="str">
        <f t="shared" si="9"/>
        <v>03930111</v>
      </c>
      <c r="L592">
        <v>50001000</v>
      </c>
      <c r="M592">
        <v>8433000</v>
      </c>
    </row>
    <row r="593" spans="1:13">
      <c r="A593" t="s">
        <v>135</v>
      </c>
      <c r="B593" t="s">
        <v>290</v>
      </c>
      <c r="C593" t="s">
        <v>121</v>
      </c>
      <c r="D593" t="s">
        <v>282</v>
      </c>
      <c r="E593" t="s">
        <v>237</v>
      </c>
      <c r="F593" t="s">
        <v>238</v>
      </c>
      <c r="G593" t="s">
        <v>7</v>
      </c>
      <c r="H593" t="s">
        <v>217</v>
      </c>
      <c r="I593" t="s">
        <v>217</v>
      </c>
      <c r="J593" t="s">
        <v>7</v>
      </c>
      <c r="K593" t="str">
        <f t="shared" si="9"/>
        <v>03930438</v>
      </c>
      <c r="L593">
        <v>50001000</v>
      </c>
      <c r="M593">
        <v>54001000</v>
      </c>
    </row>
    <row r="594" spans="1:13">
      <c r="A594" t="s">
        <v>135</v>
      </c>
      <c r="B594" t="s">
        <v>290</v>
      </c>
      <c r="C594" t="s">
        <v>140</v>
      </c>
      <c r="D594" t="s">
        <v>243</v>
      </c>
      <c r="E594" t="s">
        <v>237</v>
      </c>
      <c r="F594" t="s">
        <v>238</v>
      </c>
      <c r="G594" t="s">
        <v>7</v>
      </c>
      <c r="H594" t="s">
        <v>217</v>
      </c>
      <c r="I594" t="s">
        <v>217</v>
      </c>
      <c r="J594" t="s">
        <v>7</v>
      </c>
      <c r="K594" t="str">
        <f t="shared" si="9"/>
        <v>03930113</v>
      </c>
      <c r="L594">
        <v>50001000</v>
      </c>
      <c r="M594">
        <v>13001000</v>
      </c>
    </row>
    <row r="595" spans="1:13">
      <c r="A595" t="s">
        <v>135</v>
      </c>
      <c r="B595" t="s">
        <v>290</v>
      </c>
      <c r="C595" t="s">
        <v>184</v>
      </c>
      <c r="D595" t="s">
        <v>239</v>
      </c>
      <c r="E595" t="s">
        <v>237</v>
      </c>
      <c r="F595" t="s">
        <v>238</v>
      </c>
      <c r="G595" t="s">
        <v>7</v>
      </c>
      <c r="H595" t="s">
        <v>217</v>
      </c>
      <c r="I595" t="s">
        <v>217</v>
      </c>
      <c r="J595" t="s">
        <v>7</v>
      </c>
      <c r="K595" t="str">
        <f t="shared" si="9"/>
        <v>03930024</v>
      </c>
      <c r="L595">
        <v>50001000</v>
      </c>
      <c r="M595">
        <v>11001000</v>
      </c>
    </row>
    <row r="596" spans="1:13">
      <c r="A596" t="s">
        <v>135</v>
      </c>
      <c r="B596" t="s">
        <v>290</v>
      </c>
      <c r="C596" t="s">
        <v>120</v>
      </c>
      <c r="D596" t="s">
        <v>292</v>
      </c>
      <c r="E596" t="s">
        <v>237</v>
      </c>
      <c r="F596" t="s">
        <v>238</v>
      </c>
      <c r="G596" t="s">
        <v>7</v>
      </c>
      <c r="H596" t="s">
        <v>217</v>
      </c>
      <c r="I596" t="s">
        <v>217</v>
      </c>
      <c r="J596" t="s">
        <v>7</v>
      </c>
      <c r="K596" t="str">
        <f t="shared" si="9"/>
        <v>03930422</v>
      </c>
      <c r="L596">
        <v>50001000</v>
      </c>
      <c r="M596">
        <v>68001000</v>
      </c>
    </row>
    <row r="597" spans="1:13">
      <c r="A597" t="s">
        <v>135</v>
      </c>
      <c r="B597" t="s">
        <v>290</v>
      </c>
      <c r="C597" t="s">
        <v>122</v>
      </c>
      <c r="D597" t="s">
        <v>289</v>
      </c>
      <c r="E597" t="s">
        <v>237</v>
      </c>
      <c r="F597" t="s">
        <v>238</v>
      </c>
      <c r="G597" t="s">
        <v>7</v>
      </c>
      <c r="H597" t="s">
        <v>217</v>
      </c>
      <c r="I597" t="s">
        <v>217</v>
      </c>
      <c r="J597" t="s">
        <v>7</v>
      </c>
      <c r="K597" t="str">
        <f t="shared" si="9"/>
        <v>03930385</v>
      </c>
      <c r="L597">
        <v>50001000</v>
      </c>
      <c r="M597">
        <v>41001000</v>
      </c>
    </row>
    <row r="598" spans="1:13">
      <c r="A598" t="s">
        <v>135</v>
      </c>
      <c r="B598" t="s">
        <v>290</v>
      </c>
      <c r="C598" t="s">
        <v>125</v>
      </c>
      <c r="D598" t="s">
        <v>277</v>
      </c>
      <c r="E598" t="s">
        <v>237</v>
      </c>
      <c r="F598" t="s">
        <v>238</v>
      </c>
      <c r="G598" t="s">
        <v>7</v>
      </c>
      <c r="H598" t="s">
        <v>217</v>
      </c>
      <c r="I598" t="s">
        <v>217</v>
      </c>
      <c r="J598" t="s">
        <v>7</v>
      </c>
      <c r="K598" t="str">
        <f t="shared" si="9"/>
        <v>03930445</v>
      </c>
      <c r="L598">
        <v>50001000</v>
      </c>
      <c r="M598">
        <v>76001000</v>
      </c>
    </row>
    <row r="599" spans="1:13">
      <c r="A599" t="s">
        <v>135</v>
      </c>
      <c r="B599" t="s">
        <v>290</v>
      </c>
      <c r="C599" t="s">
        <v>147</v>
      </c>
      <c r="D599" t="s">
        <v>236</v>
      </c>
      <c r="E599" t="s">
        <v>237</v>
      </c>
      <c r="F599" t="s">
        <v>238</v>
      </c>
      <c r="G599" t="s">
        <v>7</v>
      </c>
      <c r="H599" t="s">
        <v>217</v>
      </c>
      <c r="I599" t="s">
        <v>217</v>
      </c>
      <c r="J599" t="s">
        <v>7</v>
      </c>
      <c r="K599" t="str">
        <f t="shared" si="9"/>
        <v>03930022</v>
      </c>
      <c r="L599">
        <v>50001000</v>
      </c>
      <c r="M599">
        <v>25430000</v>
      </c>
    </row>
    <row r="600" spans="1:13">
      <c r="A600" t="s">
        <v>135</v>
      </c>
      <c r="B600" t="s">
        <v>290</v>
      </c>
      <c r="C600" t="s">
        <v>163</v>
      </c>
      <c r="D600" t="s">
        <v>275</v>
      </c>
      <c r="E600" t="s">
        <v>237</v>
      </c>
      <c r="F600" t="s">
        <v>238</v>
      </c>
      <c r="G600" t="s">
        <v>7</v>
      </c>
      <c r="H600" t="s">
        <v>217</v>
      </c>
      <c r="I600" t="s">
        <v>217</v>
      </c>
      <c r="J600" t="s">
        <v>7</v>
      </c>
      <c r="K600" t="str">
        <f t="shared" si="9"/>
        <v>03930032</v>
      </c>
      <c r="L600">
        <v>50001000</v>
      </c>
      <c r="M600">
        <v>11001000</v>
      </c>
    </row>
    <row r="601" spans="1:13">
      <c r="A601" t="s">
        <v>135</v>
      </c>
      <c r="B601" t="s">
        <v>290</v>
      </c>
      <c r="C601" t="s">
        <v>131</v>
      </c>
      <c r="D601" t="s">
        <v>278</v>
      </c>
      <c r="E601" t="s">
        <v>237</v>
      </c>
      <c r="F601" t="s">
        <v>238</v>
      </c>
      <c r="G601" t="s">
        <v>7</v>
      </c>
      <c r="H601" t="s">
        <v>217</v>
      </c>
      <c r="I601" t="s">
        <v>217</v>
      </c>
      <c r="J601" t="s">
        <v>7</v>
      </c>
      <c r="K601" t="str">
        <f t="shared" si="9"/>
        <v>03930035</v>
      </c>
      <c r="L601">
        <v>50001000</v>
      </c>
      <c r="M601">
        <v>25799000</v>
      </c>
    </row>
    <row r="602" spans="1:13">
      <c r="A602" t="s">
        <v>151</v>
      </c>
      <c r="B602" t="s">
        <v>271</v>
      </c>
      <c r="C602" t="s">
        <v>139</v>
      </c>
      <c r="D602" t="s">
        <v>273</v>
      </c>
      <c r="E602" t="s">
        <v>237</v>
      </c>
      <c r="F602" t="s">
        <v>238</v>
      </c>
      <c r="G602" t="s">
        <v>7</v>
      </c>
      <c r="H602" t="s">
        <v>217</v>
      </c>
      <c r="I602" t="s">
        <v>217</v>
      </c>
      <c r="J602" t="s">
        <v>7</v>
      </c>
      <c r="K602" t="str">
        <f t="shared" si="9"/>
        <v>03950397</v>
      </c>
      <c r="L602">
        <v>52001000</v>
      </c>
      <c r="M602">
        <v>52356000</v>
      </c>
    </row>
    <row r="603" spans="1:13">
      <c r="A603" t="s">
        <v>151</v>
      </c>
      <c r="B603" t="s">
        <v>271</v>
      </c>
      <c r="C603" t="s">
        <v>146</v>
      </c>
      <c r="D603" t="s">
        <v>272</v>
      </c>
      <c r="E603" t="s">
        <v>237</v>
      </c>
      <c r="F603" t="s">
        <v>238</v>
      </c>
      <c r="G603" t="s">
        <v>7</v>
      </c>
      <c r="H603" t="s">
        <v>217</v>
      </c>
      <c r="I603" t="s">
        <v>217</v>
      </c>
      <c r="J603" t="s">
        <v>7</v>
      </c>
      <c r="K603" t="str">
        <f t="shared" si="9"/>
        <v>03950396</v>
      </c>
      <c r="L603">
        <v>52001000</v>
      </c>
      <c r="M603">
        <v>52835000</v>
      </c>
    </row>
    <row r="604" spans="1:13">
      <c r="A604" t="s">
        <v>151</v>
      </c>
      <c r="B604" t="s">
        <v>271</v>
      </c>
      <c r="C604" t="s">
        <v>117</v>
      </c>
      <c r="D604" t="s">
        <v>251</v>
      </c>
      <c r="E604" t="s">
        <v>237</v>
      </c>
      <c r="F604" t="s">
        <v>238</v>
      </c>
      <c r="G604" t="s">
        <v>7</v>
      </c>
      <c r="H604" t="s">
        <v>217</v>
      </c>
      <c r="I604" t="s">
        <v>217</v>
      </c>
      <c r="J604" t="s">
        <v>7</v>
      </c>
      <c r="K604" t="str">
        <f t="shared" si="9"/>
        <v>03950410</v>
      </c>
      <c r="L604">
        <v>52001000</v>
      </c>
      <c r="M604">
        <v>76892000</v>
      </c>
    </row>
    <row r="605" spans="1:13">
      <c r="A605" t="s">
        <v>151</v>
      </c>
      <c r="B605" t="s">
        <v>271</v>
      </c>
      <c r="C605" t="s">
        <v>116</v>
      </c>
      <c r="D605" t="s">
        <v>235</v>
      </c>
      <c r="E605" t="s">
        <v>237</v>
      </c>
      <c r="F605" t="s">
        <v>238</v>
      </c>
      <c r="G605" t="s">
        <v>7</v>
      </c>
      <c r="H605" t="s">
        <v>217</v>
      </c>
      <c r="I605" t="s">
        <v>217</v>
      </c>
      <c r="J605" t="s">
        <v>7</v>
      </c>
      <c r="K605" t="str">
        <f t="shared" si="9"/>
        <v>03950021</v>
      </c>
      <c r="L605">
        <v>52001000</v>
      </c>
      <c r="M605">
        <v>11001000</v>
      </c>
    </row>
    <row r="606" spans="1:13">
      <c r="A606" t="s">
        <v>151</v>
      </c>
      <c r="B606" t="s">
        <v>271</v>
      </c>
      <c r="C606" t="s">
        <v>125</v>
      </c>
      <c r="D606" t="s">
        <v>277</v>
      </c>
      <c r="E606" t="s">
        <v>237</v>
      </c>
      <c r="F606" t="s">
        <v>238</v>
      </c>
      <c r="G606" t="s">
        <v>7</v>
      </c>
      <c r="H606" t="s">
        <v>217</v>
      </c>
      <c r="I606" t="s">
        <v>217</v>
      </c>
      <c r="J606" t="s">
        <v>7</v>
      </c>
      <c r="K606" t="str">
        <f t="shared" si="9"/>
        <v>03950445</v>
      </c>
      <c r="L606">
        <v>52001000</v>
      </c>
      <c r="M606">
        <v>19142000</v>
      </c>
    </row>
    <row r="607" spans="1:13">
      <c r="A607" t="s">
        <v>146</v>
      </c>
      <c r="B607" t="s">
        <v>272</v>
      </c>
      <c r="C607" t="s">
        <v>151</v>
      </c>
      <c r="D607" t="s">
        <v>271</v>
      </c>
      <c r="E607" t="s">
        <v>237</v>
      </c>
      <c r="F607" t="s">
        <v>238</v>
      </c>
      <c r="G607" t="s">
        <v>7</v>
      </c>
      <c r="H607" t="s">
        <v>217</v>
      </c>
      <c r="I607" t="s">
        <v>217</v>
      </c>
      <c r="J607" t="s">
        <v>7</v>
      </c>
      <c r="K607" t="str">
        <f t="shared" si="9"/>
        <v>03960395</v>
      </c>
      <c r="L607">
        <v>52835000</v>
      </c>
      <c r="M607">
        <v>52001000</v>
      </c>
    </row>
    <row r="608" spans="1:13">
      <c r="A608" t="s">
        <v>146</v>
      </c>
      <c r="B608" t="s">
        <v>272</v>
      </c>
      <c r="C608" t="s">
        <v>117</v>
      </c>
      <c r="D608" t="s">
        <v>251</v>
      </c>
      <c r="E608" t="s">
        <v>237</v>
      </c>
      <c r="F608" t="s">
        <v>238</v>
      </c>
      <c r="G608" t="s">
        <v>7</v>
      </c>
      <c r="H608" t="s">
        <v>217</v>
      </c>
      <c r="I608" t="s">
        <v>217</v>
      </c>
      <c r="J608" t="s">
        <v>7</v>
      </c>
      <c r="K608" t="str">
        <f t="shared" si="9"/>
        <v>03960410</v>
      </c>
      <c r="L608">
        <v>52835000</v>
      </c>
      <c r="M608">
        <v>76892000</v>
      </c>
    </row>
    <row r="609" spans="1:13">
      <c r="A609" t="s">
        <v>146</v>
      </c>
      <c r="B609" t="s">
        <v>272</v>
      </c>
      <c r="C609" t="s">
        <v>125</v>
      </c>
      <c r="D609" t="s">
        <v>277</v>
      </c>
      <c r="E609" t="s">
        <v>237</v>
      </c>
      <c r="F609" t="s">
        <v>238</v>
      </c>
      <c r="G609" t="s">
        <v>7</v>
      </c>
      <c r="H609" t="s">
        <v>217</v>
      </c>
      <c r="I609" t="s">
        <v>217</v>
      </c>
      <c r="J609" t="s">
        <v>7</v>
      </c>
      <c r="K609" t="str">
        <f t="shared" si="9"/>
        <v>03960445</v>
      </c>
      <c r="L609">
        <v>52835000</v>
      </c>
      <c r="M609">
        <v>76001000</v>
      </c>
    </row>
    <row r="610" spans="1:13">
      <c r="A610" t="s">
        <v>139</v>
      </c>
      <c r="B610" t="s">
        <v>273</v>
      </c>
      <c r="C610" t="s">
        <v>151</v>
      </c>
      <c r="D610" t="s">
        <v>271</v>
      </c>
      <c r="E610" t="s">
        <v>237</v>
      </c>
      <c r="F610" t="s">
        <v>238</v>
      </c>
      <c r="G610" t="s">
        <v>7</v>
      </c>
      <c r="H610" t="s">
        <v>217</v>
      </c>
      <c r="I610" t="s">
        <v>217</v>
      </c>
      <c r="J610" t="s">
        <v>7</v>
      </c>
      <c r="K610" t="str">
        <f t="shared" si="9"/>
        <v>03970395</v>
      </c>
      <c r="L610">
        <v>52356000</v>
      </c>
      <c r="M610">
        <v>52001000</v>
      </c>
    </row>
    <row r="611" spans="1:13">
      <c r="A611" t="s">
        <v>139</v>
      </c>
      <c r="B611" t="s">
        <v>273</v>
      </c>
      <c r="C611" t="s">
        <v>117</v>
      </c>
      <c r="D611" t="s">
        <v>251</v>
      </c>
      <c r="E611" t="s">
        <v>237</v>
      </c>
      <c r="F611" t="s">
        <v>238</v>
      </c>
      <c r="G611" t="s">
        <v>7</v>
      </c>
      <c r="H611" t="s">
        <v>217</v>
      </c>
      <c r="I611" t="s">
        <v>217</v>
      </c>
      <c r="J611" t="s">
        <v>7</v>
      </c>
      <c r="K611" t="str">
        <f t="shared" si="9"/>
        <v>03970410</v>
      </c>
      <c r="L611">
        <v>52356000</v>
      </c>
      <c r="M611">
        <v>76892000</v>
      </c>
    </row>
    <row r="612" spans="1:13">
      <c r="A612" t="s">
        <v>139</v>
      </c>
      <c r="B612" t="s">
        <v>273</v>
      </c>
      <c r="C612" t="s">
        <v>125</v>
      </c>
      <c r="D612" t="s">
        <v>277</v>
      </c>
      <c r="E612" t="s">
        <v>237</v>
      </c>
      <c r="F612" t="s">
        <v>238</v>
      </c>
      <c r="G612" t="s">
        <v>7</v>
      </c>
      <c r="H612" t="s">
        <v>217</v>
      </c>
      <c r="I612" t="s">
        <v>217</v>
      </c>
      <c r="J612" t="s">
        <v>7</v>
      </c>
      <c r="K612" t="str">
        <f t="shared" si="9"/>
        <v>03970445</v>
      </c>
      <c r="L612">
        <v>52356000</v>
      </c>
      <c r="M612">
        <v>19142000</v>
      </c>
    </row>
    <row r="613" spans="1:13">
      <c r="A613" t="s">
        <v>117</v>
      </c>
      <c r="B613" t="s">
        <v>251</v>
      </c>
      <c r="C613" t="s">
        <v>159</v>
      </c>
      <c r="D613" t="s">
        <v>279</v>
      </c>
      <c r="E613" t="s">
        <v>237</v>
      </c>
      <c r="F613" t="s">
        <v>238</v>
      </c>
      <c r="G613" t="s">
        <v>7</v>
      </c>
      <c r="H613" t="s">
        <v>217</v>
      </c>
      <c r="I613" t="s">
        <v>217</v>
      </c>
      <c r="J613" t="s">
        <v>7</v>
      </c>
      <c r="K613" t="str">
        <f t="shared" si="9"/>
        <v>04100384</v>
      </c>
      <c r="L613">
        <v>76892000</v>
      </c>
      <c r="M613">
        <v>23001000</v>
      </c>
    </row>
    <row r="614" spans="1:13">
      <c r="A614" t="s">
        <v>117</v>
      </c>
      <c r="B614" t="s">
        <v>251</v>
      </c>
      <c r="C614" t="s">
        <v>129</v>
      </c>
      <c r="D614" t="s">
        <v>280</v>
      </c>
      <c r="E614" t="s">
        <v>237</v>
      </c>
      <c r="F614" t="s">
        <v>238</v>
      </c>
      <c r="G614" t="s">
        <v>7</v>
      </c>
      <c r="H614" t="s">
        <v>217</v>
      </c>
      <c r="I614" t="s">
        <v>217</v>
      </c>
      <c r="J614" t="s">
        <v>7</v>
      </c>
      <c r="K614" t="str">
        <f t="shared" si="9"/>
        <v>04100381</v>
      </c>
      <c r="L614">
        <v>76892000</v>
      </c>
      <c r="M614">
        <v>23001000</v>
      </c>
    </row>
    <row r="615" spans="1:13">
      <c r="A615" t="s">
        <v>117</v>
      </c>
      <c r="B615" t="s">
        <v>251</v>
      </c>
      <c r="C615" t="s">
        <v>178</v>
      </c>
      <c r="D615" t="s">
        <v>297</v>
      </c>
      <c r="E615" t="s">
        <v>237</v>
      </c>
      <c r="F615" t="s">
        <v>238</v>
      </c>
      <c r="G615" t="s">
        <v>7</v>
      </c>
      <c r="H615" t="s">
        <v>217</v>
      </c>
      <c r="I615" t="s">
        <v>217</v>
      </c>
      <c r="J615" t="s">
        <v>7</v>
      </c>
      <c r="K615" t="str">
        <f t="shared" si="9"/>
        <v>04100383</v>
      </c>
      <c r="L615">
        <v>76892000</v>
      </c>
      <c r="M615">
        <v>70001000</v>
      </c>
    </row>
    <row r="616" spans="1:13">
      <c r="A616" t="s">
        <v>117</v>
      </c>
      <c r="B616" t="s">
        <v>251</v>
      </c>
      <c r="C616" t="s">
        <v>161</v>
      </c>
      <c r="D616" t="s">
        <v>293</v>
      </c>
      <c r="E616" t="s">
        <v>237</v>
      </c>
      <c r="F616" t="s">
        <v>238</v>
      </c>
      <c r="G616" t="s">
        <v>7</v>
      </c>
      <c r="H616" t="s">
        <v>217</v>
      </c>
      <c r="I616" t="s">
        <v>217</v>
      </c>
      <c r="J616" t="s">
        <v>7</v>
      </c>
      <c r="K616" t="str">
        <f t="shared" si="9"/>
        <v>04100382</v>
      </c>
      <c r="L616">
        <v>76892000</v>
      </c>
      <c r="M616">
        <v>70001000</v>
      </c>
    </row>
    <row r="617" spans="1:13">
      <c r="A617" t="s">
        <v>117</v>
      </c>
      <c r="B617" t="s">
        <v>251</v>
      </c>
      <c r="C617" t="s">
        <v>134</v>
      </c>
      <c r="D617" t="s">
        <v>281</v>
      </c>
      <c r="E617" t="s">
        <v>237</v>
      </c>
      <c r="F617" t="s">
        <v>238</v>
      </c>
      <c r="G617" t="s">
        <v>7</v>
      </c>
      <c r="H617" t="s">
        <v>217</v>
      </c>
      <c r="I617" t="s">
        <v>217</v>
      </c>
      <c r="J617" t="s">
        <v>7</v>
      </c>
      <c r="K617" t="str">
        <f t="shared" si="9"/>
        <v>04100424</v>
      </c>
      <c r="L617">
        <v>76892000</v>
      </c>
      <c r="M617">
        <v>68081000</v>
      </c>
    </row>
    <row r="618" spans="1:13">
      <c r="A618" t="s">
        <v>117</v>
      </c>
      <c r="B618" t="s">
        <v>251</v>
      </c>
      <c r="C618" t="s">
        <v>121</v>
      </c>
      <c r="D618" t="s">
        <v>282</v>
      </c>
      <c r="E618" t="s">
        <v>237</v>
      </c>
      <c r="F618" t="s">
        <v>238</v>
      </c>
      <c r="G618" t="s">
        <v>7</v>
      </c>
      <c r="H618" t="s">
        <v>217</v>
      </c>
      <c r="I618" t="s">
        <v>217</v>
      </c>
      <c r="J618" t="s">
        <v>7</v>
      </c>
      <c r="K618" t="str">
        <f t="shared" si="9"/>
        <v>04100438</v>
      </c>
      <c r="L618">
        <v>76892000</v>
      </c>
      <c r="M618">
        <v>54001000</v>
      </c>
    </row>
    <row r="619" spans="1:13">
      <c r="A619" t="s">
        <v>117</v>
      </c>
      <c r="B619" t="s">
        <v>251</v>
      </c>
      <c r="C619" t="s">
        <v>132</v>
      </c>
      <c r="D619" t="s">
        <v>255</v>
      </c>
      <c r="E619" t="s">
        <v>237</v>
      </c>
      <c r="F619" t="s">
        <v>238</v>
      </c>
      <c r="G619" t="s">
        <v>7</v>
      </c>
      <c r="H619" t="s">
        <v>217</v>
      </c>
      <c r="I619" t="s">
        <v>217</v>
      </c>
      <c r="J619" t="s">
        <v>7</v>
      </c>
      <c r="K619" t="str">
        <f t="shared" si="9"/>
        <v>04100441</v>
      </c>
      <c r="L619">
        <v>76892000</v>
      </c>
      <c r="M619">
        <v>15238000</v>
      </c>
    </row>
    <row r="620" spans="1:13">
      <c r="A620" t="s">
        <v>117</v>
      </c>
      <c r="B620" t="s">
        <v>251</v>
      </c>
      <c r="C620" t="s">
        <v>154</v>
      </c>
      <c r="D620" t="s">
        <v>283</v>
      </c>
      <c r="E620" t="s">
        <v>237</v>
      </c>
      <c r="F620" t="s">
        <v>238</v>
      </c>
      <c r="G620" t="s">
        <v>7</v>
      </c>
      <c r="H620" t="s">
        <v>217</v>
      </c>
      <c r="I620" t="s">
        <v>217</v>
      </c>
      <c r="J620" t="s">
        <v>7</v>
      </c>
      <c r="K620" t="str">
        <f t="shared" si="9"/>
        <v>04100442</v>
      </c>
      <c r="L620">
        <v>76892000</v>
      </c>
      <c r="M620">
        <v>85001000</v>
      </c>
    </row>
    <row r="621" spans="1:13">
      <c r="A621" t="s">
        <v>117</v>
      </c>
      <c r="B621" t="s">
        <v>251</v>
      </c>
      <c r="C621" t="s">
        <v>158</v>
      </c>
      <c r="D621" t="s">
        <v>284</v>
      </c>
      <c r="E621" t="s">
        <v>237</v>
      </c>
      <c r="F621" t="s">
        <v>238</v>
      </c>
      <c r="G621" t="s">
        <v>7</v>
      </c>
      <c r="H621" t="s">
        <v>217</v>
      </c>
      <c r="I621" t="s">
        <v>217</v>
      </c>
      <c r="J621" t="s">
        <v>7</v>
      </c>
      <c r="K621" t="str">
        <f t="shared" si="9"/>
        <v>04100444</v>
      </c>
      <c r="L621">
        <v>76892000</v>
      </c>
      <c r="M621">
        <v>15238000</v>
      </c>
    </row>
    <row r="622" spans="1:13">
      <c r="A622" t="s">
        <v>117</v>
      </c>
      <c r="B622" t="s">
        <v>251</v>
      </c>
      <c r="C622" t="s">
        <v>144</v>
      </c>
      <c r="D622" t="s">
        <v>285</v>
      </c>
      <c r="E622" t="s">
        <v>237</v>
      </c>
      <c r="F622" t="s">
        <v>238</v>
      </c>
      <c r="G622" t="s">
        <v>7</v>
      </c>
      <c r="H622" t="s">
        <v>217</v>
      </c>
      <c r="I622" t="s">
        <v>217</v>
      </c>
      <c r="J622" t="s">
        <v>7</v>
      </c>
      <c r="K622" t="str">
        <f t="shared" si="9"/>
        <v>04100443</v>
      </c>
      <c r="L622">
        <v>76892000</v>
      </c>
      <c r="M622">
        <v>15001000</v>
      </c>
    </row>
    <row r="623" spans="1:13">
      <c r="A623" t="s">
        <v>117</v>
      </c>
      <c r="B623" t="s">
        <v>251</v>
      </c>
      <c r="C623" t="s">
        <v>149</v>
      </c>
      <c r="D623" t="s">
        <v>286</v>
      </c>
      <c r="E623" t="s">
        <v>237</v>
      </c>
      <c r="F623" t="s">
        <v>238</v>
      </c>
      <c r="G623" t="s">
        <v>7</v>
      </c>
      <c r="H623" t="s">
        <v>217</v>
      </c>
      <c r="I623" t="s">
        <v>217</v>
      </c>
      <c r="J623" t="s">
        <v>7</v>
      </c>
      <c r="K623" t="str">
        <f t="shared" si="9"/>
        <v>04100447</v>
      </c>
      <c r="L623">
        <v>76892000</v>
      </c>
      <c r="M623">
        <v>20001000</v>
      </c>
    </row>
    <row r="624" spans="1:13">
      <c r="A624" t="s">
        <v>117</v>
      </c>
      <c r="B624" t="s">
        <v>251</v>
      </c>
      <c r="C624" t="s">
        <v>160</v>
      </c>
      <c r="D624" t="s">
        <v>287</v>
      </c>
      <c r="E624" t="s">
        <v>237</v>
      </c>
      <c r="F624" t="s">
        <v>238</v>
      </c>
      <c r="G624" t="s">
        <v>7</v>
      </c>
      <c r="H624" t="s">
        <v>217</v>
      </c>
      <c r="I624" t="s">
        <v>217</v>
      </c>
      <c r="J624" t="s">
        <v>7</v>
      </c>
      <c r="K624" t="str">
        <f t="shared" si="9"/>
        <v>04100423</v>
      </c>
      <c r="L624">
        <v>76892000</v>
      </c>
      <c r="M624">
        <v>68001000</v>
      </c>
    </row>
    <row r="625" spans="1:13">
      <c r="A625" t="s">
        <v>117</v>
      </c>
      <c r="B625" t="s">
        <v>251</v>
      </c>
      <c r="C625" t="s">
        <v>157</v>
      </c>
      <c r="D625" t="s">
        <v>288</v>
      </c>
      <c r="E625" t="s">
        <v>237</v>
      </c>
      <c r="F625" t="s">
        <v>238</v>
      </c>
      <c r="G625" t="s">
        <v>7</v>
      </c>
      <c r="H625" t="s">
        <v>217</v>
      </c>
      <c r="I625" t="s">
        <v>217</v>
      </c>
      <c r="J625" t="s">
        <v>7</v>
      </c>
      <c r="K625" t="str">
        <f t="shared" si="9"/>
        <v>04100446</v>
      </c>
      <c r="L625">
        <v>76892000</v>
      </c>
      <c r="M625">
        <v>15238000</v>
      </c>
    </row>
    <row r="626" spans="1:13">
      <c r="A626" t="s">
        <v>117</v>
      </c>
      <c r="B626" t="s">
        <v>251</v>
      </c>
      <c r="C626" t="s">
        <v>148</v>
      </c>
      <c r="D626" t="s">
        <v>294</v>
      </c>
      <c r="E626" t="s">
        <v>237</v>
      </c>
      <c r="F626" t="s">
        <v>238</v>
      </c>
      <c r="G626" t="s">
        <v>7</v>
      </c>
      <c r="H626" t="s">
        <v>217</v>
      </c>
      <c r="I626" t="s">
        <v>217</v>
      </c>
      <c r="J626" t="s">
        <v>7</v>
      </c>
      <c r="K626" t="str">
        <f t="shared" si="9"/>
        <v>04100437</v>
      </c>
      <c r="L626">
        <v>76892000</v>
      </c>
      <c r="M626">
        <v>68081000</v>
      </c>
    </row>
    <row r="627" spans="1:13">
      <c r="A627" t="s">
        <v>117</v>
      </c>
      <c r="B627" t="s">
        <v>251</v>
      </c>
      <c r="C627" t="s">
        <v>165</v>
      </c>
      <c r="D627" t="s">
        <v>295</v>
      </c>
      <c r="E627" t="s">
        <v>237</v>
      </c>
      <c r="F627" t="s">
        <v>238</v>
      </c>
      <c r="G627" t="s">
        <v>7</v>
      </c>
      <c r="H627" t="s">
        <v>217</v>
      </c>
      <c r="I627" t="s">
        <v>217</v>
      </c>
      <c r="J627" t="s">
        <v>7</v>
      </c>
      <c r="K627" t="str">
        <f t="shared" si="9"/>
        <v>04100434</v>
      </c>
      <c r="L627">
        <v>76892000</v>
      </c>
      <c r="M627">
        <v>20001000</v>
      </c>
    </row>
    <row r="628" spans="1:13">
      <c r="A628" t="s">
        <v>117</v>
      </c>
      <c r="B628" t="s">
        <v>251</v>
      </c>
      <c r="C628" t="s">
        <v>170</v>
      </c>
      <c r="D628" t="s">
        <v>270</v>
      </c>
      <c r="E628" t="s">
        <v>237</v>
      </c>
      <c r="F628" t="s">
        <v>238</v>
      </c>
      <c r="G628" t="s">
        <v>7</v>
      </c>
      <c r="H628" t="s">
        <v>217</v>
      </c>
      <c r="I628" t="s">
        <v>217</v>
      </c>
      <c r="J628" t="s">
        <v>7</v>
      </c>
      <c r="K628" t="str">
        <f t="shared" si="9"/>
        <v>04100392</v>
      </c>
      <c r="L628">
        <v>76892000</v>
      </c>
      <c r="M628">
        <v>73001000</v>
      </c>
    </row>
    <row r="629" spans="1:13">
      <c r="A629" t="s">
        <v>117</v>
      </c>
      <c r="B629" t="s">
        <v>251</v>
      </c>
      <c r="C629" t="s">
        <v>126</v>
      </c>
      <c r="D629" t="s">
        <v>267</v>
      </c>
      <c r="E629" t="s">
        <v>237</v>
      </c>
      <c r="F629" t="s">
        <v>238</v>
      </c>
      <c r="G629" t="s">
        <v>7</v>
      </c>
      <c r="H629" t="s">
        <v>217</v>
      </c>
      <c r="I629" t="s">
        <v>217</v>
      </c>
      <c r="J629" t="s">
        <v>7</v>
      </c>
      <c r="K629" t="str">
        <f t="shared" si="9"/>
        <v>04100389</v>
      </c>
      <c r="L629">
        <v>76892000</v>
      </c>
      <c r="M629">
        <v>73001000</v>
      </c>
    </row>
    <row r="630" spans="1:13">
      <c r="A630" t="s">
        <v>117</v>
      </c>
      <c r="B630" t="s">
        <v>251</v>
      </c>
      <c r="C630" t="s">
        <v>122</v>
      </c>
      <c r="D630" t="s">
        <v>289</v>
      </c>
      <c r="E630" t="s">
        <v>237</v>
      </c>
      <c r="F630" t="s">
        <v>238</v>
      </c>
      <c r="G630" t="s">
        <v>7</v>
      </c>
      <c r="H630" t="s">
        <v>217</v>
      </c>
      <c r="I630" t="s">
        <v>217</v>
      </c>
      <c r="J630" t="s">
        <v>7</v>
      </c>
      <c r="K630" t="str">
        <f t="shared" si="9"/>
        <v>04100385</v>
      </c>
      <c r="L630">
        <v>76892000</v>
      </c>
      <c r="M630">
        <v>41001000</v>
      </c>
    </row>
    <row r="631" spans="1:13">
      <c r="A631" t="s">
        <v>117</v>
      </c>
      <c r="B631" t="s">
        <v>251</v>
      </c>
      <c r="C631" t="s">
        <v>135</v>
      </c>
      <c r="D631" t="s">
        <v>290</v>
      </c>
      <c r="E631" t="s">
        <v>237</v>
      </c>
      <c r="F631" t="s">
        <v>238</v>
      </c>
      <c r="G631" t="s">
        <v>7</v>
      </c>
      <c r="H631" t="s">
        <v>217</v>
      </c>
      <c r="I631" t="s">
        <v>217</v>
      </c>
      <c r="J631" t="s">
        <v>7</v>
      </c>
      <c r="K631" t="str">
        <f t="shared" si="9"/>
        <v>04100393</v>
      </c>
      <c r="L631">
        <v>76892000</v>
      </c>
      <c r="M631">
        <v>50001000</v>
      </c>
    </row>
    <row r="632" spans="1:13">
      <c r="A632" t="s">
        <v>117</v>
      </c>
      <c r="B632" t="s">
        <v>251</v>
      </c>
      <c r="C632" t="s">
        <v>151</v>
      </c>
      <c r="D632" t="s">
        <v>271</v>
      </c>
      <c r="E632" t="s">
        <v>237</v>
      </c>
      <c r="F632" t="s">
        <v>238</v>
      </c>
      <c r="G632" t="s">
        <v>7</v>
      </c>
      <c r="H632" t="s">
        <v>217</v>
      </c>
      <c r="I632" t="s">
        <v>217</v>
      </c>
      <c r="J632" t="s">
        <v>7</v>
      </c>
      <c r="K632" t="str">
        <f t="shared" si="9"/>
        <v>04100395</v>
      </c>
      <c r="L632">
        <v>76892000</v>
      </c>
      <c r="M632">
        <v>52001000</v>
      </c>
    </row>
    <row r="633" spans="1:13">
      <c r="A633" t="s">
        <v>117</v>
      </c>
      <c r="B633" t="s">
        <v>251</v>
      </c>
      <c r="C633" t="s">
        <v>127</v>
      </c>
      <c r="D633" t="s">
        <v>268</v>
      </c>
      <c r="E633" t="s">
        <v>237</v>
      </c>
      <c r="F633" t="s">
        <v>238</v>
      </c>
      <c r="G633" t="s">
        <v>7</v>
      </c>
      <c r="H633" t="s">
        <v>217</v>
      </c>
      <c r="I633" t="s">
        <v>217</v>
      </c>
      <c r="J633" t="s">
        <v>7</v>
      </c>
      <c r="K633" t="str">
        <f t="shared" si="9"/>
        <v>04100390</v>
      </c>
      <c r="L633">
        <v>76892000</v>
      </c>
      <c r="M633">
        <v>73001000</v>
      </c>
    </row>
    <row r="634" spans="1:13">
      <c r="A634" t="s">
        <v>117</v>
      </c>
      <c r="B634" t="s">
        <v>251</v>
      </c>
      <c r="C634" t="s">
        <v>143</v>
      </c>
      <c r="D634" t="s">
        <v>266</v>
      </c>
      <c r="E634" t="s">
        <v>237</v>
      </c>
      <c r="F634" t="s">
        <v>238</v>
      </c>
      <c r="G634" t="s">
        <v>7</v>
      </c>
      <c r="H634" t="s">
        <v>217</v>
      </c>
      <c r="I634" t="s">
        <v>217</v>
      </c>
      <c r="J634" t="s">
        <v>7</v>
      </c>
      <c r="K634" t="str">
        <f t="shared" si="9"/>
        <v>04100388</v>
      </c>
      <c r="L634">
        <v>76892000</v>
      </c>
      <c r="M634">
        <v>18001000</v>
      </c>
    </row>
    <row r="635" spans="1:13">
      <c r="A635" t="s">
        <v>117</v>
      </c>
      <c r="B635" t="s">
        <v>251</v>
      </c>
      <c r="C635" t="s">
        <v>171</v>
      </c>
      <c r="D635" t="s">
        <v>269</v>
      </c>
      <c r="E635" t="s">
        <v>237</v>
      </c>
      <c r="F635" t="s">
        <v>238</v>
      </c>
      <c r="G635" t="s">
        <v>7</v>
      </c>
      <c r="H635" t="s">
        <v>217</v>
      </c>
      <c r="I635" t="s">
        <v>217</v>
      </c>
      <c r="J635" t="s">
        <v>7</v>
      </c>
      <c r="K635" t="str">
        <f t="shared" si="9"/>
        <v>04100391</v>
      </c>
      <c r="L635">
        <v>76892000</v>
      </c>
      <c r="M635">
        <v>11001000</v>
      </c>
    </row>
    <row r="636" spans="1:13">
      <c r="A636" t="s">
        <v>117</v>
      </c>
      <c r="B636" t="s">
        <v>251</v>
      </c>
      <c r="C636" t="s">
        <v>150</v>
      </c>
      <c r="D636" t="s">
        <v>256</v>
      </c>
      <c r="E636" t="s">
        <v>237</v>
      </c>
      <c r="F636" t="s">
        <v>238</v>
      </c>
      <c r="G636" t="s">
        <v>7</v>
      </c>
      <c r="H636" t="s">
        <v>217</v>
      </c>
      <c r="I636" t="s">
        <v>217</v>
      </c>
      <c r="J636" t="s">
        <v>7</v>
      </c>
      <c r="K636" t="str">
        <f t="shared" si="9"/>
        <v>04100394</v>
      </c>
      <c r="L636">
        <v>76892000</v>
      </c>
      <c r="M636">
        <v>50001000</v>
      </c>
    </row>
    <row r="637" spans="1:13">
      <c r="A637" t="s">
        <v>117</v>
      </c>
      <c r="B637" t="s">
        <v>251</v>
      </c>
      <c r="C637" t="s">
        <v>139</v>
      </c>
      <c r="D637" t="s">
        <v>273</v>
      </c>
      <c r="E637" t="s">
        <v>237</v>
      </c>
      <c r="F637" t="s">
        <v>238</v>
      </c>
      <c r="G637" t="s">
        <v>7</v>
      </c>
      <c r="H637" t="s">
        <v>217</v>
      </c>
      <c r="I637" t="s">
        <v>217</v>
      </c>
      <c r="J637" t="s">
        <v>7</v>
      </c>
      <c r="K637" t="str">
        <f t="shared" si="9"/>
        <v>04100397</v>
      </c>
      <c r="L637">
        <v>76892000</v>
      </c>
      <c r="M637">
        <v>52356000</v>
      </c>
    </row>
    <row r="638" spans="1:13">
      <c r="A638" t="s">
        <v>117</v>
      </c>
      <c r="B638" t="s">
        <v>251</v>
      </c>
      <c r="C638" t="s">
        <v>146</v>
      </c>
      <c r="D638" t="s">
        <v>272</v>
      </c>
      <c r="E638" t="s">
        <v>237</v>
      </c>
      <c r="F638" t="s">
        <v>238</v>
      </c>
      <c r="G638" t="s">
        <v>7</v>
      </c>
      <c r="H638" t="s">
        <v>217</v>
      </c>
      <c r="I638" t="s">
        <v>217</v>
      </c>
      <c r="J638" t="s">
        <v>7</v>
      </c>
      <c r="K638" t="str">
        <f t="shared" si="9"/>
        <v>04100396</v>
      </c>
      <c r="L638">
        <v>76892000</v>
      </c>
      <c r="M638">
        <v>52835000</v>
      </c>
    </row>
    <row r="639" spans="1:13">
      <c r="A639" t="s">
        <v>117</v>
      </c>
      <c r="B639" t="s">
        <v>251</v>
      </c>
      <c r="C639" t="s">
        <v>177</v>
      </c>
      <c r="D639" t="s">
        <v>264</v>
      </c>
      <c r="E639" t="s">
        <v>237</v>
      </c>
      <c r="F639" t="s">
        <v>238</v>
      </c>
      <c r="G639" t="s">
        <v>7</v>
      </c>
      <c r="H639" t="s">
        <v>217</v>
      </c>
      <c r="I639" t="s">
        <v>217</v>
      </c>
      <c r="J639" t="s">
        <v>7</v>
      </c>
      <c r="K639" t="str">
        <f t="shared" si="9"/>
        <v>04100386</v>
      </c>
      <c r="L639">
        <v>76892000</v>
      </c>
      <c r="M639">
        <v>73001000</v>
      </c>
    </row>
    <row r="640" spans="1:13">
      <c r="A640" t="s">
        <v>117</v>
      </c>
      <c r="B640" t="s">
        <v>251</v>
      </c>
      <c r="C640" t="s">
        <v>120</v>
      </c>
      <c r="D640" t="s">
        <v>292</v>
      </c>
      <c r="E640" t="s">
        <v>237</v>
      </c>
      <c r="F640" t="s">
        <v>238</v>
      </c>
      <c r="G640" t="s">
        <v>7</v>
      </c>
      <c r="H640" t="s">
        <v>217</v>
      </c>
      <c r="I640" t="s">
        <v>217</v>
      </c>
      <c r="J640" t="s">
        <v>7</v>
      </c>
      <c r="K640" t="str">
        <f t="shared" si="9"/>
        <v>04100422</v>
      </c>
      <c r="L640">
        <v>76892000</v>
      </c>
      <c r="M640">
        <v>68001000</v>
      </c>
    </row>
    <row r="641" spans="1:13">
      <c r="A641" t="s">
        <v>117</v>
      </c>
      <c r="B641" t="s">
        <v>251</v>
      </c>
      <c r="C641" t="s">
        <v>138</v>
      </c>
      <c r="D641" t="s">
        <v>265</v>
      </c>
      <c r="E641" t="s">
        <v>237</v>
      </c>
      <c r="F641" t="s">
        <v>238</v>
      </c>
      <c r="G641" t="s">
        <v>7</v>
      </c>
      <c r="H641" t="s">
        <v>217</v>
      </c>
      <c r="I641" t="s">
        <v>217</v>
      </c>
      <c r="J641" t="s">
        <v>7</v>
      </c>
      <c r="K641" t="str">
        <f t="shared" si="9"/>
        <v>04100387</v>
      </c>
      <c r="L641">
        <v>76892000</v>
      </c>
      <c r="M641">
        <v>41001000</v>
      </c>
    </row>
    <row r="642" spans="1:13">
      <c r="A642" t="s">
        <v>117</v>
      </c>
      <c r="B642" t="s">
        <v>251</v>
      </c>
      <c r="C642" t="s">
        <v>169</v>
      </c>
      <c r="D642" t="s">
        <v>291</v>
      </c>
      <c r="E642" t="s">
        <v>237</v>
      </c>
      <c r="F642" t="s">
        <v>238</v>
      </c>
      <c r="G642" t="s">
        <v>7</v>
      </c>
      <c r="H642" t="s">
        <v>217</v>
      </c>
      <c r="I642" t="s">
        <v>217</v>
      </c>
      <c r="J642" t="s">
        <v>7</v>
      </c>
      <c r="K642" t="str">
        <f t="shared" si="9"/>
        <v>04100449</v>
      </c>
      <c r="L642">
        <v>76892000</v>
      </c>
      <c r="M642">
        <v>47001000</v>
      </c>
    </row>
    <row r="643" spans="1:13">
      <c r="A643" t="s">
        <v>117</v>
      </c>
      <c r="B643" t="s">
        <v>251</v>
      </c>
      <c r="C643" t="s">
        <v>173</v>
      </c>
      <c r="D643" t="s">
        <v>300</v>
      </c>
      <c r="E643" t="s">
        <v>237</v>
      </c>
      <c r="F643" t="s">
        <v>238</v>
      </c>
      <c r="G643" t="s">
        <v>7</v>
      </c>
      <c r="H643" t="s">
        <v>217</v>
      </c>
      <c r="I643" t="s">
        <v>217</v>
      </c>
      <c r="J643" t="s">
        <v>7</v>
      </c>
      <c r="K643" t="str">
        <f t="shared" ref="K643:K706" si="10">A643&amp;C643</f>
        <v>04100433</v>
      </c>
      <c r="L643">
        <v>76892000</v>
      </c>
      <c r="M643">
        <v>5579000</v>
      </c>
    </row>
    <row r="644" spans="1:13">
      <c r="A644" t="s">
        <v>117</v>
      </c>
      <c r="B644" t="s">
        <v>251</v>
      </c>
      <c r="C644" t="s">
        <v>167</v>
      </c>
      <c r="D644" t="s">
        <v>298</v>
      </c>
      <c r="E644" t="s">
        <v>237</v>
      </c>
      <c r="F644" t="s">
        <v>238</v>
      </c>
      <c r="G644" t="s">
        <v>7</v>
      </c>
      <c r="H644" t="s">
        <v>217</v>
      </c>
      <c r="I644" t="s">
        <v>217</v>
      </c>
      <c r="J644" t="s">
        <v>7</v>
      </c>
      <c r="K644" t="str">
        <f t="shared" si="10"/>
        <v>04100448</v>
      </c>
      <c r="L644">
        <v>76892000</v>
      </c>
      <c r="M644">
        <v>20001000</v>
      </c>
    </row>
    <row r="645" spans="1:13">
      <c r="A645" t="s">
        <v>117</v>
      </c>
      <c r="B645" t="s">
        <v>251</v>
      </c>
      <c r="C645" t="s">
        <v>189</v>
      </c>
      <c r="D645" t="s">
        <v>296</v>
      </c>
      <c r="E645" t="s">
        <v>237</v>
      </c>
      <c r="F645" t="s">
        <v>238</v>
      </c>
      <c r="G645" t="s">
        <v>7</v>
      </c>
      <c r="H645" t="s">
        <v>217</v>
      </c>
      <c r="I645" t="s">
        <v>217</v>
      </c>
      <c r="J645" t="s">
        <v>7</v>
      </c>
      <c r="K645" t="str">
        <f t="shared" si="10"/>
        <v>04100439</v>
      </c>
      <c r="L645">
        <v>76892000</v>
      </c>
      <c r="M645">
        <v>54001000</v>
      </c>
    </row>
    <row r="646" spans="1:13">
      <c r="A646" t="s">
        <v>117</v>
      </c>
      <c r="B646" t="s">
        <v>251</v>
      </c>
      <c r="C646" t="s">
        <v>187</v>
      </c>
      <c r="D646" t="s">
        <v>299</v>
      </c>
      <c r="E646" t="s">
        <v>237</v>
      </c>
      <c r="F646" t="s">
        <v>238</v>
      </c>
      <c r="G646" t="s">
        <v>7</v>
      </c>
      <c r="H646" t="s">
        <v>217</v>
      </c>
      <c r="I646" t="s">
        <v>217</v>
      </c>
      <c r="J646" t="s">
        <v>7</v>
      </c>
      <c r="K646" t="str">
        <f t="shared" si="10"/>
        <v>04100436</v>
      </c>
      <c r="L646">
        <v>76892000</v>
      </c>
      <c r="M646">
        <v>20001000</v>
      </c>
    </row>
    <row r="647" spans="1:13">
      <c r="A647" t="s">
        <v>120</v>
      </c>
      <c r="B647" t="s">
        <v>292</v>
      </c>
      <c r="C647" t="s">
        <v>116</v>
      </c>
      <c r="D647" t="s">
        <v>235</v>
      </c>
      <c r="E647" t="s">
        <v>237</v>
      </c>
      <c r="F647" t="s">
        <v>238</v>
      </c>
      <c r="G647" t="s">
        <v>7</v>
      </c>
      <c r="H647" t="s">
        <v>217</v>
      </c>
      <c r="I647" t="s">
        <v>217</v>
      </c>
      <c r="J647" t="s">
        <v>7</v>
      </c>
      <c r="K647" t="str">
        <f t="shared" si="10"/>
        <v>04220021</v>
      </c>
      <c r="L647">
        <v>68547000</v>
      </c>
      <c r="M647">
        <v>11001000</v>
      </c>
    </row>
    <row r="648" spans="1:13">
      <c r="A648" t="s">
        <v>120</v>
      </c>
      <c r="B648" t="s">
        <v>292</v>
      </c>
      <c r="C648" t="s">
        <v>147</v>
      </c>
      <c r="D648" t="s">
        <v>236</v>
      </c>
      <c r="E648" t="s">
        <v>237</v>
      </c>
      <c r="F648" t="s">
        <v>238</v>
      </c>
      <c r="G648" t="s">
        <v>7</v>
      </c>
      <c r="H648" t="s">
        <v>217</v>
      </c>
      <c r="I648" t="s">
        <v>217</v>
      </c>
      <c r="J648" t="s">
        <v>7</v>
      </c>
      <c r="K648" t="str">
        <f t="shared" si="10"/>
        <v>04220022</v>
      </c>
      <c r="L648">
        <v>68547000</v>
      </c>
      <c r="M648">
        <v>25430000</v>
      </c>
    </row>
    <row r="649" spans="1:13">
      <c r="A649" t="s">
        <v>120</v>
      </c>
      <c r="B649" t="s">
        <v>292</v>
      </c>
      <c r="C649" t="s">
        <v>184</v>
      </c>
      <c r="D649" t="s">
        <v>239</v>
      </c>
      <c r="E649" t="s">
        <v>237</v>
      </c>
      <c r="F649" t="s">
        <v>238</v>
      </c>
      <c r="G649" t="s">
        <v>7</v>
      </c>
      <c r="H649" t="s">
        <v>217</v>
      </c>
      <c r="I649" t="s">
        <v>217</v>
      </c>
      <c r="J649" t="s">
        <v>7</v>
      </c>
      <c r="K649" t="str">
        <f t="shared" si="10"/>
        <v>04220024</v>
      </c>
      <c r="L649">
        <v>68547000</v>
      </c>
      <c r="M649">
        <v>11001000</v>
      </c>
    </row>
    <row r="650" spans="1:13">
      <c r="A650" t="s">
        <v>120</v>
      </c>
      <c r="B650" t="s">
        <v>292</v>
      </c>
      <c r="C650" t="s">
        <v>180</v>
      </c>
      <c r="D650" t="s">
        <v>240</v>
      </c>
      <c r="E650" t="s">
        <v>237</v>
      </c>
      <c r="F650" t="s">
        <v>238</v>
      </c>
      <c r="G650" t="s">
        <v>7</v>
      </c>
      <c r="H650" t="s">
        <v>217</v>
      </c>
      <c r="I650" t="s">
        <v>217</v>
      </c>
      <c r="J650" t="s">
        <v>7</v>
      </c>
      <c r="K650" t="str">
        <f t="shared" si="10"/>
        <v>04220025</v>
      </c>
      <c r="L650">
        <v>68547000</v>
      </c>
      <c r="M650">
        <v>11001000</v>
      </c>
    </row>
    <row r="651" spans="1:13">
      <c r="A651" t="s">
        <v>120</v>
      </c>
      <c r="B651" t="s">
        <v>292</v>
      </c>
      <c r="C651" t="s">
        <v>118</v>
      </c>
      <c r="D651" t="s">
        <v>112</v>
      </c>
      <c r="E651" t="s">
        <v>237</v>
      </c>
      <c r="F651" t="s">
        <v>238</v>
      </c>
      <c r="G651" t="s">
        <v>7</v>
      </c>
      <c r="H651" t="s">
        <v>217</v>
      </c>
      <c r="I651" t="s">
        <v>217</v>
      </c>
      <c r="J651" t="s">
        <v>7</v>
      </c>
      <c r="K651" t="str">
        <f t="shared" si="10"/>
        <v>04220079</v>
      </c>
      <c r="L651">
        <v>68547000</v>
      </c>
      <c r="M651">
        <v>5001000</v>
      </c>
    </row>
    <row r="652" spans="1:13">
      <c r="A652" t="s">
        <v>120</v>
      </c>
      <c r="B652" t="s">
        <v>292</v>
      </c>
      <c r="C652" t="s">
        <v>133</v>
      </c>
      <c r="D652" t="s">
        <v>241</v>
      </c>
      <c r="E652" t="s">
        <v>237</v>
      </c>
      <c r="F652" t="s">
        <v>238</v>
      </c>
      <c r="G652" t="s">
        <v>7</v>
      </c>
      <c r="H652" t="s">
        <v>217</v>
      </c>
      <c r="I652" t="s">
        <v>217</v>
      </c>
      <c r="J652" t="s">
        <v>7</v>
      </c>
      <c r="K652" t="str">
        <f t="shared" si="10"/>
        <v>04220090</v>
      </c>
      <c r="L652">
        <v>68547000</v>
      </c>
      <c r="M652">
        <v>5001000</v>
      </c>
    </row>
    <row r="653" spans="1:13">
      <c r="A653" t="s">
        <v>120</v>
      </c>
      <c r="B653" t="s">
        <v>292</v>
      </c>
      <c r="C653" t="s">
        <v>124</v>
      </c>
      <c r="D653" t="s">
        <v>242</v>
      </c>
      <c r="E653" t="s">
        <v>237</v>
      </c>
      <c r="F653" t="s">
        <v>238</v>
      </c>
      <c r="G653" t="s">
        <v>7</v>
      </c>
      <c r="H653" t="s">
        <v>217</v>
      </c>
      <c r="I653" t="s">
        <v>217</v>
      </c>
      <c r="J653" t="s">
        <v>7</v>
      </c>
      <c r="K653" t="str">
        <f t="shared" si="10"/>
        <v>04220092</v>
      </c>
      <c r="L653">
        <v>68547000</v>
      </c>
      <c r="M653">
        <v>5001000</v>
      </c>
    </row>
    <row r="654" spans="1:13">
      <c r="A654" t="s">
        <v>120</v>
      </c>
      <c r="B654" t="s">
        <v>292</v>
      </c>
      <c r="C654" t="s">
        <v>140</v>
      </c>
      <c r="D654" t="s">
        <v>243</v>
      </c>
      <c r="E654" t="s">
        <v>237</v>
      </c>
      <c r="F654" t="s">
        <v>238</v>
      </c>
      <c r="G654" t="s">
        <v>7</v>
      </c>
      <c r="H654" t="s">
        <v>217</v>
      </c>
      <c r="I654" t="s">
        <v>217</v>
      </c>
      <c r="J654" t="s">
        <v>7</v>
      </c>
      <c r="K654" t="str">
        <f t="shared" si="10"/>
        <v>04220113</v>
      </c>
      <c r="L654">
        <v>68547000</v>
      </c>
      <c r="M654">
        <v>13001000</v>
      </c>
    </row>
    <row r="655" spans="1:13">
      <c r="A655" t="s">
        <v>120</v>
      </c>
      <c r="B655" t="s">
        <v>292</v>
      </c>
      <c r="C655" t="s">
        <v>159</v>
      </c>
      <c r="D655" t="s">
        <v>279</v>
      </c>
      <c r="E655" t="s">
        <v>237</v>
      </c>
      <c r="F655" t="s">
        <v>238</v>
      </c>
      <c r="G655" t="s">
        <v>7</v>
      </c>
      <c r="H655" t="s">
        <v>217</v>
      </c>
      <c r="I655" t="s">
        <v>217</v>
      </c>
      <c r="J655" t="s">
        <v>7</v>
      </c>
      <c r="K655" t="str">
        <f t="shared" si="10"/>
        <v>04220384</v>
      </c>
      <c r="L655">
        <v>68001000</v>
      </c>
      <c r="M655">
        <v>23001000</v>
      </c>
    </row>
    <row r="656" spans="1:13">
      <c r="A656" t="s">
        <v>120</v>
      </c>
      <c r="B656" t="s">
        <v>292</v>
      </c>
      <c r="C656" t="s">
        <v>156</v>
      </c>
      <c r="D656" t="s">
        <v>244</v>
      </c>
      <c r="E656" t="s">
        <v>237</v>
      </c>
      <c r="F656" t="s">
        <v>238</v>
      </c>
      <c r="G656" t="s">
        <v>7</v>
      </c>
      <c r="H656" t="s">
        <v>217</v>
      </c>
      <c r="I656" t="s">
        <v>217</v>
      </c>
      <c r="J656" t="s">
        <v>7</v>
      </c>
      <c r="K656" t="str">
        <f t="shared" si="10"/>
        <v>04220118</v>
      </c>
      <c r="L656">
        <v>68001000</v>
      </c>
      <c r="M656">
        <v>47001000</v>
      </c>
    </row>
    <row r="657" spans="1:13">
      <c r="A657" t="s">
        <v>120</v>
      </c>
      <c r="B657" t="s">
        <v>292</v>
      </c>
      <c r="C657" t="s">
        <v>162</v>
      </c>
      <c r="D657" t="s">
        <v>245</v>
      </c>
      <c r="E657" t="s">
        <v>237</v>
      </c>
      <c r="F657" t="s">
        <v>238</v>
      </c>
      <c r="G657" t="s">
        <v>7</v>
      </c>
      <c r="H657" t="s">
        <v>217</v>
      </c>
      <c r="I657" t="s">
        <v>217</v>
      </c>
      <c r="J657" t="s">
        <v>7</v>
      </c>
      <c r="K657" t="str">
        <f t="shared" si="10"/>
        <v>04220126</v>
      </c>
      <c r="L657">
        <v>68001000</v>
      </c>
      <c r="M657">
        <v>19001000</v>
      </c>
    </row>
    <row r="658" spans="1:13">
      <c r="A658" t="s">
        <v>120</v>
      </c>
      <c r="B658" t="s">
        <v>292</v>
      </c>
      <c r="C658" t="s">
        <v>166</v>
      </c>
      <c r="D658" t="s">
        <v>246</v>
      </c>
      <c r="E658" t="s">
        <v>237</v>
      </c>
      <c r="F658" t="s">
        <v>238</v>
      </c>
      <c r="G658" t="s">
        <v>7</v>
      </c>
      <c r="H658" t="s">
        <v>217</v>
      </c>
      <c r="I658" t="s">
        <v>217</v>
      </c>
      <c r="J658" t="s">
        <v>7</v>
      </c>
      <c r="K658" t="str">
        <f t="shared" si="10"/>
        <v>04220131</v>
      </c>
      <c r="L658">
        <v>68001000</v>
      </c>
      <c r="M658">
        <v>76109000</v>
      </c>
    </row>
    <row r="659" spans="1:13">
      <c r="A659" t="s">
        <v>120</v>
      </c>
      <c r="B659" t="s">
        <v>292</v>
      </c>
      <c r="C659" t="s">
        <v>130</v>
      </c>
      <c r="D659" t="s">
        <v>247</v>
      </c>
      <c r="E659" t="s">
        <v>237</v>
      </c>
      <c r="F659" t="s">
        <v>238</v>
      </c>
      <c r="G659" t="s">
        <v>7</v>
      </c>
      <c r="H659" t="s">
        <v>217</v>
      </c>
      <c r="I659" t="s">
        <v>217</v>
      </c>
      <c r="J659" t="s">
        <v>7</v>
      </c>
      <c r="K659" t="str">
        <f t="shared" si="10"/>
        <v>04220134</v>
      </c>
      <c r="L659">
        <v>68001000</v>
      </c>
      <c r="M659">
        <v>66170000</v>
      </c>
    </row>
    <row r="660" spans="1:13">
      <c r="A660" t="s">
        <v>120</v>
      </c>
      <c r="B660" t="s">
        <v>292</v>
      </c>
      <c r="C660" t="s">
        <v>155</v>
      </c>
      <c r="D660" t="s">
        <v>248</v>
      </c>
      <c r="E660" t="s">
        <v>237</v>
      </c>
      <c r="F660" t="s">
        <v>238</v>
      </c>
      <c r="G660" t="s">
        <v>7</v>
      </c>
      <c r="H660" t="s">
        <v>217</v>
      </c>
      <c r="I660" t="s">
        <v>217</v>
      </c>
      <c r="J660" t="s">
        <v>7</v>
      </c>
      <c r="K660" t="str">
        <f t="shared" si="10"/>
        <v>04220142</v>
      </c>
      <c r="L660">
        <v>68001000</v>
      </c>
      <c r="M660">
        <v>63001000</v>
      </c>
    </row>
    <row r="661" spans="1:13">
      <c r="A661" t="s">
        <v>120</v>
      </c>
      <c r="B661" t="s">
        <v>292</v>
      </c>
      <c r="C661" t="s">
        <v>153</v>
      </c>
      <c r="D661" t="s">
        <v>249</v>
      </c>
      <c r="E661" t="s">
        <v>237</v>
      </c>
      <c r="F661" t="s">
        <v>238</v>
      </c>
      <c r="G661" t="s">
        <v>7</v>
      </c>
      <c r="H661" t="s">
        <v>217</v>
      </c>
      <c r="I661" t="s">
        <v>217</v>
      </c>
      <c r="J661" t="s">
        <v>7</v>
      </c>
      <c r="K661" t="str">
        <f t="shared" si="10"/>
        <v>04220145</v>
      </c>
      <c r="L661">
        <v>68001000</v>
      </c>
      <c r="M661">
        <v>17001000</v>
      </c>
    </row>
    <row r="662" spans="1:13">
      <c r="A662" t="s">
        <v>120</v>
      </c>
      <c r="B662" t="s">
        <v>292</v>
      </c>
      <c r="C662" t="s">
        <v>129</v>
      </c>
      <c r="D662" t="s">
        <v>280</v>
      </c>
      <c r="E662" t="s">
        <v>237</v>
      </c>
      <c r="F662" t="s">
        <v>238</v>
      </c>
      <c r="G662" t="s">
        <v>7</v>
      </c>
      <c r="H662" t="s">
        <v>217</v>
      </c>
      <c r="I662" t="s">
        <v>217</v>
      </c>
      <c r="J662" t="s">
        <v>7</v>
      </c>
      <c r="K662" t="str">
        <f t="shared" si="10"/>
        <v>04220381</v>
      </c>
      <c r="L662">
        <v>68001000</v>
      </c>
      <c r="M662">
        <v>23001000</v>
      </c>
    </row>
    <row r="663" spans="1:13">
      <c r="A663" t="s">
        <v>120</v>
      </c>
      <c r="B663" t="s">
        <v>292</v>
      </c>
      <c r="C663" t="s">
        <v>141</v>
      </c>
      <c r="D663" t="s">
        <v>250</v>
      </c>
      <c r="E663" t="s">
        <v>237</v>
      </c>
      <c r="F663" t="s">
        <v>238</v>
      </c>
      <c r="G663" t="s">
        <v>7</v>
      </c>
      <c r="H663" t="s">
        <v>217</v>
      </c>
      <c r="I663" t="s">
        <v>217</v>
      </c>
      <c r="J663" t="s">
        <v>7</v>
      </c>
      <c r="K663" t="str">
        <f t="shared" si="10"/>
        <v>04220198</v>
      </c>
      <c r="L663">
        <v>68001000</v>
      </c>
      <c r="M663">
        <v>66001000</v>
      </c>
    </row>
    <row r="664" spans="1:13">
      <c r="A664" t="s">
        <v>120</v>
      </c>
      <c r="B664" t="s">
        <v>292</v>
      </c>
      <c r="C664" t="s">
        <v>117</v>
      </c>
      <c r="D664" t="s">
        <v>251</v>
      </c>
      <c r="E664" t="s">
        <v>237</v>
      </c>
      <c r="F664" t="s">
        <v>238</v>
      </c>
      <c r="G664" t="s">
        <v>7</v>
      </c>
      <c r="H664" t="s">
        <v>217</v>
      </c>
      <c r="I664" t="s">
        <v>217</v>
      </c>
      <c r="J664" t="s">
        <v>7</v>
      </c>
      <c r="K664" t="str">
        <f t="shared" si="10"/>
        <v>04220410</v>
      </c>
      <c r="L664">
        <v>68001000</v>
      </c>
      <c r="M664">
        <v>76892000</v>
      </c>
    </row>
    <row r="665" spans="1:13">
      <c r="A665" t="s">
        <v>120</v>
      </c>
      <c r="B665" t="s">
        <v>292</v>
      </c>
      <c r="C665" t="s">
        <v>134</v>
      </c>
      <c r="D665" t="s">
        <v>281</v>
      </c>
      <c r="E665" t="s">
        <v>237</v>
      </c>
      <c r="F665" t="s">
        <v>238</v>
      </c>
      <c r="G665" t="s">
        <v>7</v>
      </c>
      <c r="H665" t="s">
        <v>217</v>
      </c>
      <c r="I665" t="s">
        <v>217</v>
      </c>
      <c r="J665" t="s">
        <v>7</v>
      </c>
      <c r="K665" t="str">
        <f t="shared" si="10"/>
        <v>04220424</v>
      </c>
      <c r="L665">
        <v>68547000</v>
      </c>
      <c r="M665">
        <v>68081000</v>
      </c>
    </row>
    <row r="666" spans="1:13">
      <c r="A666" t="s">
        <v>120</v>
      </c>
      <c r="B666" t="s">
        <v>292</v>
      </c>
      <c r="C666" t="s">
        <v>121</v>
      </c>
      <c r="D666" t="s">
        <v>282</v>
      </c>
      <c r="E666" t="s">
        <v>237</v>
      </c>
      <c r="F666" t="s">
        <v>238</v>
      </c>
      <c r="G666" t="s">
        <v>7</v>
      </c>
      <c r="H666" t="s">
        <v>217</v>
      </c>
      <c r="I666" t="s">
        <v>217</v>
      </c>
      <c r="J666" t="s">
        <v>7</v>
      </c>
      <c r="K666" t="str">
        <f t="shared" si="10"/>
        <v>04220438</v>
      </c>
      <c r="L666">
        <v>68547000</v>
      </c>
      <c r="M666">
        <v>54001000</v>
      </c>
    </row>
    <row r="667" spans="1:13">
      <c r="A667" t="s">
        <v>120</v>
      </c>
      <c r="B667" t="s">
        <v>292</v>
      </c>
      <c r="C667" t="s">
        <v>132</v>
      </c>
      <c r="D667" t="s">
        <v>255</v>
      </c>
      <c r="E667" t="s">
        <v>237</v>
      </c>
      <c r="F667" t="s">
        <v>238</v>
      </c>
      <c r="G667" t="s">
        <v>7</v>
      </c>
      <c r="H667" t="s">
        <v>217</v>
      </c>
      <c r="I667" t="s">
        <v>217</v>
      </c>
      <c r="J667" t="s">
        <v>7</v>
      </c>
      <c r="K667" t="str">
        <f t="shared" si="10"/>
        <v>04220441</v>
      </c>
      <c r="L667">
        <v>68547000</v>
      </c>
      <c r="M667">
        <v>11001000</v>
      </c>
    </row>
    <row r="668" spans="1:13">
      <c r="A668" t="s">
        <v>120</v>
      </c>
      <c r="B668" t="s">
        <v>292</v>
      </c>
      <c r="C668" t="s">
        <v>154</v>
      </c>
      <c r="D668" t="s">
        <v>283</v>
      </c>
      <c r="E668" t="s">
        <v>237</v>
      </c>
      <c r="F668" t="s">
        <v>238</v>
      </c>
      <c r="G668" t="s">
        <v>7</v>
      </c>
      <c r="H668" t="s">
        <v>217</v>
      </c>
      <c r="I668" t="s">
        <v>217</v>
      </c>
      <c r="J668" t="s">
        <v>7</v>
      </c>
      <c r="K668" t="str">
        <f t="shared" si="10"/>
        <v>04220442</v>
      </c>
      <c r="L668">
        <v>68001000</v>
      </c>
      <c r="M668">
        <v>85001000</v>
      </c>
    </row>
    <row r="669" spans="1:13">
      <c r="A669" t="s">
        <v>120</v>
      </c>
      <c r="B669" t="s">
        <v>292</v>
      </c>
      <c r="C669" t="s">
        <v>158</v>
      </c>
      <c r="D669" t="s">
        <v>284</v>
      </c>
      <c r="E669" t="s">
        <v>237</v>
      </c>
      <c r="F669" t="s">
        <v>238</v>
      </c>
      <c r="G669" t="s">
        <v>7</v>
      </c>
      <c r="H669" t="s">
        <v>217</v>
      </c>
      <c r="I669" t="s">
        <v>217</v>
      </c>
      <c r="J669" t="s">
        <v>7</v>
      </c>
      <c r="K669" t="str">
        <f t="shared" si="10"/>
        <v>04220444</v>
      </c>
      <c r="L669">
        <v>68001000</v>
      </c>
      <c r="M669">
        <v>15238000</v>
      </c>
    </row>
    <row r="670" spans="1:13">
      <c r="A670" t="s">
        <v>120</v>
      </c>
      <c r="B670" t="s">
        <v>292</v>
      </c>
      <c r="C670" t="s">
        <v>144</v>
      </c>
      <c r="D670" t="s">
        <v>285</v>
      </c>
      <c r="E670" t="s">
        <v>237</v>
      </c>
      <c r="F670" t="s">
        <v>238</v>
      </c>
      <c r="G670" t="s">
        <v>7</v>
      </c>
      <c r="H670" t="s">
        <v>217</v>
      </c>
      <c r="I670" t="s">
        <v>217</v>
      </c>
      <c r="J670" t="s">
        <v>7</v>
      </c>
      <c r="K670" t="str">
        <f t="shared" si="10"/>
        <v>04220443</v>
      </c>
      <c r="L670">
        <v>68001000</v>
      </c>
      <c r="M670">
        <v>15001000</v>
      </c>
    </row>
    <row r="671" spans="1:13">
      <c r="A671" t="s">
        <v>120</v>
      </c>
      <c r="B671" t="s">
        <v>292</v>
      </c>
      <c r="C671" t="s">
        <v>149</v>
      </c>
      <c r="D671" t="s">
        <v>286</v>
      </c>
      <c r="E671" t="s">
        <v>237</v>
      </c>
      <c r="F671" t="s">
        <v>238</v>
      </c>
      <c r="G671" t="s">
        <v>7</v>
      </c>
      <c r="H671" t="s">
        <v>217</v>
      </c>
      <c r="I671" t="s">
        <v>217</v>
      </c>
      <c r="J671" t="s">
        <v>7</v>
      </c>
      <c r="K671" t="str">
        <f t="shared" si="10"/>
        <v>04220447</v>
      </c>
      <c r="L671">
        <v>68001000</v>
      </c>
      <c r="M671">
        <v>20001000</v>
      </c>
    </row>
    <row r="672" spans="1:13">
      <c r="A672" t="s">
        <v>120</v>
      </c>
      <c r="B672" t="s">
        <v>292</v>
      </c>
      <c r="C672" t="s">
        <v>148</v>
      </c>
      <c r="D672" t="s">
        <v>294</v>
      </c>
      <c r="E672" t="s">
        <v>237</v>
      </c>
      <c r="F672" t="s">
        <v>238</v>
      </c>
      <c r="G672" t="s">
        <v>7</v>
      </c>
      <c r="H672" t="s">
        <v>217</v>
      </c>
      <c r="I672" t="s">
        <v>217</v>
      </c>
      <c r="J672" t="s">
        <v>7</v>
      </c>
      <c r="K672" t="str">
        <f t="shared" si="10"/>
        <v>04220437</v>
      </c>
      <c r="L672">
        <v>68547000</v>
      </c>
      <c r="M672">
        <v>68081000</v>
      </c>
    </row>
    <row r="673" spans="1:13">
      <c r="A673" t="s">
        <v>120</v>
      </c>
      <c r="B673" t="s">
        <v>292</v>
      </c>
      <c r="C673" t="s">
        <v>165</v>
      </c>
      <c r="D673" t="s">
        <v>295</v>
      </c>
      <c r="E673" t="s">
        <v>237</v>
      </c>
      <c r="F673" t="s">
        <v>238</v>
      </c>
      <c r="G673" t="s">
        <v>7</v>
      </c>
      <c r="H673" t="s">
        <v>217</v>
      </c>
      <c r="I673" t="s">
        <v>217</v>
      </c>
      <c r="J673" t="s">
        <v>7</v>
      </c>
      <c r="K673" t="str">
        <f t="shared" si="10"/>
        <v>04220434</v>
      </c>
      <c r="L673">
        <v>68547000</v>
      </c>
      <c r="M673">
        <v>54498000</v>
      </c>
    </row>
    <row r="674" spans="1:13">
      <c r="A674" t="s">
        <v>120</v>
      </c>
      <c r="B674" t="s">
        <v>292</v>
      </c>
      <c r="C674" t="s">
        <v>119</v>
      </c>
      <c r="D674" t="s">
        <v>274</v>
      </c>
      <c r="E674" t="s">
        <v>237</v>
      </c>
      <c r="F674" t="s">
        <v>238</v>
      </c>
      <c r="G674" t="s">
        <v>7</v>
      </c>
      <c r="H674" t="s">
        <v>217</v>
      </c>
      <c r="I674" t="s">
        <v>217</v>
      </c>
      <c r="J674" t="s">
        <v>7</v>
      </c>
      <c r="K674" t="str">
        <f t="shared" si="10"/>
        <v>04220111</v>
      </c>
      <c r="L674">
        <v>68547000</v>
      </c>
      <c r="M674">
        <v>8433000</v>
      </c>
    </row>
    <row r="675" spans="1:13">
      <c r="A675" t="s">
        <v>120</v>
      </c>
      <c r="B675" t="s">
        <v>292</v>
      </c>
      <c r="C675" t="s">
        <v>157</v>
      </c>
      <c r="D675" t="s">
        <v>288</v>
      </c>
      <c r="E675" t="s">
        <v>237</v>
      </c>
      <c r="F675" t="s">
        <v>238</v>
      </c>
      <c r="G675" t="s">
        <v>7</v>
      </c>
      <c r="H675" t="s">
        <v>217</v>
      </c>
      <c r="I675" t="s">
        <v>217</v>
      </c>
      <c r="J675" t="s">
        <v>7</v>
      </c>
      <c r="K675" t="str">
        <f t="shared" si="10"/>
        <v>04220446</v>
      </c>
      <c r="L675">
        <v>68001000</v>
      </c>
      <c r="M675">
        <v>68077000</v>
      </c>
    </row>
    <row r="676" spans="1:13">
      <c r="A676" t="s">
        <v>120</v>
      </c>
      <c r="B676" t="s">
        <v>292</v>
      </c>
      <c r="C676" t="s">
        <v>161</v>
      </c>
      <c r="D676" t="s">
        <v>293</v>
      </c>
      <c r="E676" t="s">
        <v>237</v>
      </c>
      <c r="F676" t="s">
        <v>238</v>
      </c>
      <c r="G676" t="s">
        <v>7</v>
      </c>
      <c r="H676" t="s">
        <v>217</v>
      </c>
      <c r="I676" t="s">
        <v>217</v>
      </c>
      <c r="J676" t="s">
        <v>7</v>
      </c>
      <c r="K676" t="str">
        <f t="shared" si="10"/>
        <v>04220382</v>
      </c>
      <c r="L676">
        <v>68001000</v>
      </c>
      <c r="M676">
        <v>70001000</v>
      </c>
    </row>
    <row r="677" spans="1:13">
      <c r="A677" t="s">
        <v>120</v>
      </c>
      <c r="B677" t="s">
        <v>292</v>
      </c>
      <c r="C677" t="s">
        <v>169</v>
      </c>
      <c r="D677" t="s">
        <v>291</v>
      </c>
      <c r="E677" t="s">
        <v>237</v>
      </c>
      <c r="F677" t="s">
        <v>238</v>
      </c>
      <c r="G677" t="s">
        <v>7</v>
      </c>
      <c r="H677" t="s">
        <v>217</v>
      </c>
      <c r="I677" t="s">
        <v>217</v>
      </c>
      <c r="J677" t="s">
        <v>7</v>
      </c>
      <c r="K677" t="str">
        <f t="shared" si="10"/>
        <v>04220449</v>
      </c>
      <c r="L677">
        <v>68001000</v>
      </c>
      <c r="M677">
        <v>20060000</v>
      </c>
    </row>
    <row r="678" spans="1:13">
      <c r="A678" t="s">
        <v>120</v>
      </c>
      <c r="B678" t="s">
        <v>292</v>
      </c>
      <c r="C678" t="s">
        <v>167</v>
      </c>
      <c r="D678" t="s">
        <v>298</v>
      </c>
      <c r="E678" t="s">
        <v>237</v>
      </c>
      <c r="F678" t="s">
        <v>238</v>
      </c>
      <c r="G678" t="s">
        <v>7</v>
      </c>
      <c r="H678" t="s">
        <v>217</v>
      </c>
      <c r="I678" t="s">
        <v>217</v>
      </c>
      <c r="J678" t="s">
        <v>7</v>
      </c>
      <c r="K678" t="str">
        <f t="shared" si="10"/>
        <v>04220448</v>
      </c>
      <c r="L678">
        <v>68001000</v>
      </c>
      <c r="M678">
        <v>20001000</v>
      </c>
    </row>
    <row r="679" spans="1:13">
      <c r="A679" t="s">
        <v>120</v>
      </c>
      <c r="B679" t="s">
        <v>292</v>
      </c>
      <c r="C679" t="s">
        <v>181</v>
      </c>
      <c r="D679" t="s">
        <v>260</v>
      </c>
      <c r="E679" t="s">
        <v>237</v>
      </c>
      <c r="F679" t="s">
        <v>238</v>
      </c>
      <c r="G679" t="s">
        <v>7</v>
      </c>
      <c r="H679" t="s">
        <v>217</v>
      </c>
      <c r="I679" t="s">
        <v>217</v>
      </c>
      <c r="J679" t="s">
        <v>7</v>
      </c>
      <c r="K679" t="str">
        <f t="shared" si="10"/>
        <v>04220119</v>
      </c>
      <c r="L679">
        <v>68001000</v>
      </c>
      <c r="M679">
        <v>47001000</v>
      </c>
    </row>
    <row r="680" spans="1:13">
      <c r="A680" t="s">
        <v>120</v>
      </c>
      <c r="B680" t="s">
        <v>292</v>
      </c>
      <c r="C680" t="s">
        <v>178</v>
      </c>
      <c r="D680" t="s">
        <v>297</v>
      </c>
      <c r="E680" t="s">
        <v>237</v>
      </c>
      <c r="F680" t="s">
        <v>238</v>
      </c>
      <c r="G680" t="s">
        <v>7</v>
      </c>
      <c r="H680" t="s">
        <v>217</v>
      </c>
      <c r="I680" t="s">
        <v>217</v>
      </c>
      <c r="J680" t="s">
        <v>7</v>
      </c>
      <c r="K680" t="str">
        <f t="shared" si="10"/>
        <v>04220383</v>
      </c>
      <c r="L680">
        <v>68001000</v>
      </c>
      <c r="M680">
        <v>70001000</v>
      </c>
    </row>
    <row r="681" spans="1:13">
      <c r="A681" t="s">
        <v>120</v>
      </c>
      <c r="B681" t="s">
        <v>292</v>
      </c>
      <c r="C681" t="s">
        <v>172</v>
      </c>
      <c r="D681" t="s">
        <v>258</v>
      </c>
      <c r="E681" t="s">
        <v>237</v>
      </c>
      <c r="F681" t="s">
        <v>238</v>
      </c>
      <c r="G681" t="s">
        <v>7</v>
      </c>
      <c r="H681" t="s">
        <v>217</v>
      </c>
      <c r="I681" t="s">
        <v>217</v>
      </c>
      <c r="J681" t="s">
        <v>7</v>
      </c>
      <c r="K681" t="str">
        <f t="shared" si="10"/>
        <v>04220230</v>
      </c>
      <c r="L681">
        <v>68001000</v>
      </c>
      <c r="M681">
        <v>44430000</v>
      </c>
    </row>
    <row r="682" spans="1:13">
      <c r="A682" t="s">
        <v>120</v>
      </c>
      <c r="B682" t="s">
        <v>292</v>
      </c>
      <c r="C682" t="s">
        <v>186</v>
      </c>
      <c r="D682" t="s">
        <v>262</v>
      </c>
      <c r="E682" t="s">
        <v>237</v>
      </c>
      <c r="F682" t="s">
        <v>238</v>
      </c>
      <c r="G682" t="s">
        <v>7</v>
      </c>
      <c r="H682" t="s">
        <v>217</v>
      </c>
      <c r="I682" t="s">
        <v>217</v>
      </c>
      <c r="J682" t="s">
        <v>7</v>
      </c>
      <c r="K682" t="str">
        <f t="shared" si="10"/>
        <v>04220239</v>
      </c>
      <c r="L682">
        <v>68001000</v>
      </c>
      <c r="M682">
        <v>44001000</v>
      </c>
    </row>
    <row r="683" spans="1:13">
      <c r="A683" t="s">
        <v>120</v>
      </c>
      <c r="B683" t="s">
        <v>292</v>
      </c>
      <c r="C683" t="s">
        <v>135</v>
      </c>
      <c r="D683" t="s">
        <v>290</v>
      </c>
      <c r="E683" t="s">
        <v>237</v>
      </c>
      <c r="F683" t="s">
        <v>238</v>
      </c>
      <c r="G683" t="s">
        <v>7</v>
      </c>
      <c r="H683" t="s">
        <v>217</v>
      </c>
      <c r="I683" t="s">
        <v>217</v>
      </c>
      <c r="J683" t="s">
        <v>7</v>
      </c>
      <c r="K683" t="str">
        <f t="shared" si="10"/>
        <v>04220393</v>
      </c>
      <c r="L683">
        <v>68001000</v>
      </c>
      <c r="M683">
        <v>50001000</v>
      </c>
    </row>
    <row r="684" spans="1:13">
      <c r="A684" t="s">
        <v>120</v>
      </c>
      <c r="B684" t="s">
        <v>292</v>
      </c>
      <c r="C684" t="s">
        <v>127</v>
      </c>
      <c r="D684" t="s">
        <v>268</v>
      </c>
      <c r="E684" t="s">
        <v>237</v>
      </c>
      <c r="F684" t="s">
        <v>238</v>
      </c>
      <c r="G684" t="s">
        <v>7</v>
      </c>
      <c r="H684" t="s">
        <v>217</v>
      </c>
      <c r="I684" t="s">
        <v>217</v>
      </c>
      <c r="J684" t="s">
        <v>7</v>
      </c>
      <c r="K684" t="str">
        <f t="shared" si="10"/>
        <v>04220390</v>
      </c>
      <c r="L684">
        <v>68547000</v>
      </c>
      <c r="M684">
        <v>73001000</v>
      </c>
    </row>
    <row r="685" spans="1:13">
      <c r="A685" t="s">
        <v>120</v>
      </c>
      <c r="B685" t="s">
        <v>292</v>
      </c>
      <c r="C685" t="s">
        <v>171</v>
      </c>
      <c r="D685" t="s">
        <v>269</v>
      </c>
      <c r="E685" t="s">
        <v>237</v>
      </c>
      <c r="F685" t="s">
        <v>238</v>
      </c>
      <c r="G685" t="s">
        <v>7</v>
      </c>
      <c r="H685" t="s">
        <v>217</v>
      </c>
      <c r="I685" t="s">
        <v>217</v>
      </c>
      <c r="J685" t="s">
        <v>7</v>
      </c>
      <c r="K685" t="str">
        <f t="shared" si="10"/>
        <v>04220391</v>
      </c>
      <c r="L685">
        <v>68547000</v>
      </c>
      <c r="M685">
        <v>11001000</v>
      </c>
    </row>
    <row r="686" spans="1:13">
      <c r="A686" t="s">
        <v>120</v>
      </c>
      <c r="B686" t="s">
        <v>292</v>
      </c>
      <c r="C686" t="s">
        <v>126</v>
      </c>
      <c r="D686" t="s">
        <v>267</v>
      </c>
      <c r="E686" t="s">
        <v>237</v>
      </c>
      <c r="F686" t="s">
        <v>238</v>
      </c>
      <c r="G686" t="s">
        <v>7</v>
      </c>
      <c r="H686" t="s">
        <v>217</v>
      </c>
      <c r="I686" t="s">
        <v>217</v>
      </c>
      <c r="J686" t="s">
        <v>7</v>
      </c>
      <c r="K686" t="str">
        <f t="shared" si="10"/>
        <v>04220389</v>
      </c>
      <c r="L686">
        <v>68547000</v>
      </c>
      <c r="M686">
        <v>73001000</v>
      </c>
    </row>
    <row r="687" spans="1:13">
      <c r="A687" t="s">
        <v>120</v>
      </c>
      <c r="B687" t="s">
        <v>292</v>
      </c>
      <c r="C687" t="s">
        <v>170</v>
      </c>
      <c r="D687" t="s">
        <v>270</v>
      </c>
      <c r="E687" t="s">
        <v>237</v>
      </c>
      <c r="F687" t="s">
        <v>238</v>
      </c>
      <c r="G687" t="s">
        <v>7</v>
      </c>
      <c r="H687" t="s">
        <v>217</v>
      </c>
      <c r="I687" t="s">
        <v>217</v>
      </c>
      <c r="J687" t="s">
        <v>7</v>
      </c>
      <c r="K687" t="str">
        <f t="shared" si="10"/>
        <v>04220392</v>
      </c>
      <c r="L687">
        <v>68547000</v>
      </c>
      <c r="M687">
        <v>73001000</v>
      </c>
    </row>
    <row r="688" spans="1:13">
      <c r="A688" t="s">
        <v>120</v>
      </c>
      <c r="B688" t="s">
        <v>292</v>
      </c>
      <c r="C688" t="s">
        <v>122</v>
      </c>
      <c r="D688" t="s">
        <v>289</v>
      </c>
      <c r="E688" t="s">
        <v>237</v>
      </c>
      <c r="F688" t="s">
        <v>238</v>
      </c>
      <c r="G688" t="s">
        <v>7</v>
      </c>
      <c r="H688" t="s">
        <v>217</v>
      </c>
      <c r="I688" t="s">
        <v>217</v>
      </c>
      <c r="J688" t="s">
        <v>7</v>
      </c>
      <c r="K688" t="str">
        <f t="shared" si="10"/>
        <v>04220385</v>
      </c>
      <c r="L688">
        <v>68001000</v>
      </c>
      <c r="M688">
        <v>41001000</v>
      </c>
    </row>
    <row r="689" spans="1:13">
      <c r="A689" t="s">
        <v>120</v>
      </c>
      <c r="B689" t="s">
        <v>292</v>
      </c>
      <c r="C689" t="s">
        <v>177</v>
      </c>
      <c r="D689" t="s">
        <v>264</v>
      </c>
      <c r="E689" t="s">
        <v>237</v>
      </c>
      <c r="F689" t="s">
        <v>238</v>
      </c>
      <c r="G689" t="s">
        <v>7</v>
      </c>
      <c r="H689" t="s">
        <v>217</v>
      </c>
      <c r="I689" t="s">
        <v>217</v>
      </c>
      <c r="J689" t="s">
        <v>7</v>
      </c>
      <c r="K689" t="str">
        <f t="shared" si="10"/>
        <v>04220386</v>
      </c>
      <c r="L689">
        <v>68547000</v>
      </c>
      <c r="M689">
        <v>73001000</v>
      </c>
    </row>
    <row r="690" spans="1:13">
      <c r="A690" t="s">
        <v>120</v>
      </c>
      <c r="B690" t="s">
        <v>292</v>
      </c>
      <c r="C690" t="s">
        <v>138</v>
      </c>
      <c r="D690" t="s">
        <v>265</v>
      </c>
      <c r="E690" t="s">
        <v>237</v>
      </c>
      <c r="F690" t="s">
        <v>238</v>
      </c>
      <c r="G690" t="s">
        <v>7</v>
      </c>
      <c r="H690" t="s">
        <v>217</v>
      </c>
      <c r="I690" t="s">
        <v>217</v>
      </c>
      <c r="J690" t="s">
        <v>7</v>
      </c>
      <c r="K690" t="str">
        <f t="shared" si="10"/>
        <v>04220387</v>
      </c>
      <c r="L690">
        <v>68001000</v>
      </c>
      <c r="M690">
        <v>41001000</v>
      </c>
    </row>
    <row r="691" spans="1:13">
      <c r="A691" t="s">
        <v>120</v>
      </c>
      <c r="B691" t="s">
        <v>292</v>
      </c>
      <c r="C691" t="s">
        <v>143</v>
      </c>
      <c r="D691" t="s">
        <v>266</v>
      </c>
      <c r="E691" t="s">
        <v>237</v>
      </c>
      <c r="F691" t="s">
        <v>238</v>
      </c>
      <c r="G691" t="s">
        <v>7</v>
      </c>
      <c r="H691" t="s">
        <v>217</v>
      </c>
      <c r="I691" t="s">
        <v>217</v>
      </c>
      <c r="J691" t="s">
        <v>7</v>
      </c>
      <c r="K691" t="str">
        <f t="shared" si="10"/>
        <v>04220388</v>
      </c>
      <c r="L691">
        <v>68001000</v>
      </c>
      <c r="M691">
        <v>18001000</v>
      </c>
    </row>
    <row r="692" spans="1:13">
      <c r="A692" t="s">
        <v>120</v>
      </c>
      <c r="B692" t="s">
        <v>292</v>
      </c>
      <c r="C692" t="s">
        <v>150</v>
      </c>
      <c r="D692" t="s">
        <v>256</v>
      </c>
      <c r="E692" t="s">
        <v>237</v>
      </c>
      <c r="F692" t="s">
        <v>238</v>
      </c>
      <c r="G692" t="s">
        <v>7</v>
      </c>
      <c r="H692" t="s">
        <v>217</v>
      </c>
      <c r="I692" t="s">
        <v>217</v>
      </c>
      <c r="J692" t="s">
        <v>7</v>
      </c>
      <c r="K692" t="str">
        <f t="shared" si="10"/>
        <v>04220394</v>
      </c>
      <c r="L692">
        <v>68001000</v>
      </c>
      <c r="M692">
        <v>50001000</v>
      </c>
    </row>
    <row r="693" spans="1:13">
      <c r="A693" t="s">
        <v>120</v>
      </c>
      <c r="B693" t="s">
        <v>292</v>
      </c>
      <c r="C693" t="s">
        <v>123</v>
      </c>
      <c r="D693" t="s">
        <v>263</v>
      </c>
      <c r="E693" t="s">
        <v>237</v>
      </c>
      <c r="F693" t="s">
        <v>238</v>
      </c>
      <c r="G693" t="s">
        <v>7</v>
      </c>
      <c r="H693" t="s">
        <v>217</v>
      </c>
      <c r="I693" t="s">
        <v>217</v>
      </c>
      <c r="J693" t="s">
        <v>7</v>
      </c>
      <c r="K693" t="str">
        <f t="shared" si="10"/>
        <v>04220292</v>
      </c>
      <c r="L693">
        <v>68547000</v>
      </c>
      <c r="M693">
        <v>5001000</v>
      </c>
    </row>
    <row r="694" spans="1:13">
      <c r="A694" t="s">
        <v>120</v>
      </c>
      <c r="B694" t="s">
        <v>292</v>
      </c>
      <c r="C694" t="s">
        <v>151</v>
      </c>
      <c r="D694" t="s">
        <v>271</v>
      </c>
      <c r="E694" t="s">
        <v>237</v>
      </c>
      <c r="F694" t="s">
        <v>238</v>
      </c>
      <c r="G694" t="s">
        <v>7</v>
      </c>
      <c r="H694" t="s">
        <v>217</v>
      </c>
      <c r="I694" t="s">
        <v>217</v>
      </c>
      <c r="J694" t="s">
        <v>7</v>
      </c>
      <c r="K694" t="str">
        <f t="shared" si="10"/>
        <v>04220395</v>
      </c>
      <c r="L694">
        <v>68001000</v>
      </c>
      <c r="M694">
        <v>52001000</v>
      </c>
    </row>
    <row r="695" spans="1:13">
      <c r="A695" t="s">
        <v>120</v>
      </c>
      <c r="B695" t="s">
        <v>292</v>
      </c>
      <c r="C695" t="s">
        <v>139</v>
      </c>
      <c r="D695" t="s">
        <v>273</v>
      </c>
      <c r="E695" t="s">
        <v>237</v>
      </c>
      <c r="F695" t="s">
        <v>238</v>
      </c>
      <c r="G695" t="s">
        <v>7</v>
      </c>
      <c r="H695" t="s">
        <v>217</v>
      </c>
      <c r="I695" t="s">
        <v>217</v>
      </c>
      <c r="J695" t="s">
        <v>7</v>
      </c>
      <c r="K695" t="str">
        <f t="shared" si="10"/>
        <v>04220397</v>
      </c>
      <c r="L695">
        <v>68001000</v>
      </c>
      <c r="M695">
        <v>52356000</v>
      </c>
    </row>
    <row r="696" spans="1:13">
      <c r="A696" t="s">
        <v>120</v>
      </c>
      <c r="B696" t="s">
        <v>292</v>
      </c>
      <c r="C696" t="s">
        <v>152</v>
      </c>
      <c r="D696" t="s">
        <v>252</v>
      </c>
      <c r="E696" t="s">
        <v>237</v>
      </c>
      <c r="F696" t="s">
        <v>238</v>
      </c>
      <c r="G696" t="s">
        <v>7</v>
      </c>
      <c r="H696" t="s">
        <v>217</v>
      </c>
      <c r="I696" t="s">
        <v>217</v>
      </c>
      <c r="J696" t="s">
        <v>7</v>
      </c>
      <c r="K696" t="str">
        <f t="shared" si="10"/>
        <v>04220411</v>
      </c>
      <c r="L696">
        <v>68001000</v>
      </c>
      <c r="M696">
        <v>76111000</v>
      </c>
    </row>
    <row r="697" spans="1:13">
      <c r="A697" t="s">
        <v>120</v>
      </c>
      <c r="B697" t="s">
        <v>292</v>
      </c>
      <c r="C697" t="s">
        <v>174</v>
      </c>
      <c r="D697" t="s">
        <v>253</v>
      </c>
      <c r="E697" t="s">
        <v>237</v>
      </c>
      <c r="F697" t="s">
        <v>238</v>
      </c>
      <c r="G697" t="s">
        <v>7</v>
      </c>
      <c r="H697" t="s">
        <v>217</v>
      </c>
      <c r="I697" t="s">
        <v>217</v>
      </c>
      <c r="J697" t="s">
        <v>7</v>
      </c>
      <c r="K697" t="str">
        <f t="shared" si="10"/>
        <v>04220412</v>
      </c>
      <c r="L697">
        <v>68001000</v>
      </c>
      <c r="M697">
        <v>76895000</v>
      </c>
    </row>
    <row r="698" spans="1:13">
      <c r="A698" t="s">
        <v>120</v>
      </c>
      <c r="B698" t="s">
        <v>292</v>
      </c>
      <c r="C698" t="s">
        <v>163</v>
      </c>
      <c r="D698" t="s">
        <v>275</v>
      </c>
      <c r="E698" t="s">
        <v>237</v>
      </c>
      <c r="F698" t="s">
        <v>238</v>
      </c>
      <c r="G698" t="s">
        <v>7</v>
      </c>
      <c r="H698" t="s">
        <v>217</v>
      </c>
      <c r="I698" t="s">
        <v>217</v>
      </c>
      <c r="J698" t="s">
        <v>7</v>
      </c>
      <c r="K698" t="str">
        <f t="shared" si="10"/>
        <v>04220032</v>
      </c>
      <c r="L698">
        <v>68547000</v>
      </c>
      <c r="M698">
        <v>11001000</v>
      </c>
    </row>
    <row r="699" spans="1:13">
      <c r="A699" t="s">
        <v>120</v>
      </c>
      <c r="B699" t="s">
        <v>292</v>
      </c>
      <c r="C699" t="s">
        <v>188</v>
      </c>
      <c r="D699" t="s">
        <v>259</v>
      </c>
      <c r="E699" t="s">
        <v>237</v>
      </c>
      <c r="F699" t="s">
        <v>238</v>
      </c>
      <c r="G699" t="s">
        <v>7</v>
      </c>
      <c r="H699" t="s">
        <v>217</v>
      </c>
      <c r="I699" t="s">
        <v>217</v>
      </c>
      <c r="J699" t="s">
        <v>7</v>
      </c>
      <c r="K699" t="str">
        <f t="shared" si="10"/>
        <v>04220033</v>
      </c>
      <c r="L699">
        <v>68547000</v>
      </c>
      <c r="M699">
        <v>11001000</v>
      </c>
    </row>
    <row r="700" spans="1:13">
      <c r="A700" t="s">
        <v>120</v>
      </c>
      <c r="B700" t="s">
        <v>292</v>
      </c>
      <c r="C700" t="s">
        <v>145</v>
      </c>
      <c r="D700" t="s">
        <v>254</v>
      </c>
      <c r="E700" t="s">
        <v>237</v>
      </c>
      <c r="F700" t="s">
        <v>238</v>
      </c>
      <c r="G700" t="s">
        <v>7</v>
      </c>
      <c r="H700" t="s">
        <v>217</v>
      </c>
      <c r="I700" t="s">
        <v>217</v>
      </c>
      <c r="J700" t="s">
        <v>7</v>
      </c>
      <c r="K700" t="str">
        <f t="shared" si="10"/>
        <v>04220358</v>
      </c>
      <c r="L700">
        <v>68001000</v>
      </c>
      <c r="M700">
        <v>76001000</v>
      </c>
    </row>
    <row r="701" spans="1:13">
      <c r="A701" t="s">
        <v>120</v>
      </c>
      <c r="B701" t="s">
        <v>292</v>
      </c>
      <c r="C701" t="s">
        <v>146</v>
      </c>
      <c r="D701" t="s">
        <v>272</v>
      </c>
      <c r="E701" t="s">
        <v>237</v>
      </c>
      <c r="F701" t="s">
        <v>238</v>
      </c>
      <c r="G701" t="s">
        <v>7</v>
      </c>
      <c r="H701" t="s">
        <v>217</v>
      </c>
      <c r="I701" t="s">
        <v>217</v>
      </c>
      <c r="J701" t="s">
        <v>7</v>
      </c>
      <c r="K701" t="str">
        <f t="shared" si="10"/>
        <v>04220396</v>
      </c>
      <c r="L701">
        <v>68001000</v>
      </c>
      <c r="M701">
        <v>52835000</v>
      </c>
    </row>
    <row r="702" spans="1:13">
      <c r="A702" t="s">
        <v>120</v>
      </c>
      <c r="B702" t="s">
        <v>292</v>
      </c>
      <c r="C702" t="s">
        <v>136</v>
      </c>
      <c r="D702" t="s">
        <v>276</v>
      </c>
      <c r="E702" t="s">
        <v>237</v>
      </c>
      <c r="F702" t="s">
        <v>238</v>
      </c>
      <c r="G702" t="s">
        <v>7</v>
      </c>
      <c r="H702" t="s">
        <v>217</v>
      </c>
      <c r="I702" t="s">
        <v>217</v>
      </c>
      <c r="J702" t="s">
        <v>7</v>
      </c>
      <c r="K702" t="str">
        <f t="shared" si="10"/>
        <v>04220074</v>
      </c>
      <c r="L702">
        <v>68547000</v>
      </c>
      <c r="M702">
        <v>5001000</v>
      </c>
    </row>
    <row r="703" spans="1:13">
      <c r="A703" t="s">
        <v>120</v>
      </c>
      <c r="B703" t="s">
        <v>292</v>
      </c>
      <c r="C703" t="s">
        <v>125</v>
      </c>
      <c r="D703" t="s">
        <v>277</v>
      </c>
      <c r="E703" t="s">
        <v>237</v>
      </c>
      <c r="F703" t="s">
        <v>238</v>
      </c>
      <c r="G703" t="s">
        <v>7</v>
      </c>
      <c r="H703" t="s">
        <v>217</v>
      </c>
      <c r="I703" t="s">
        <v>217</v>
      </c>
      <c r="J703" t="s">
        <v>7</v>
      </c>
      <c r="K703" t="str">
        <f t="shared" si="10"/>
        <v>04220445</v>
      </c>
      <c r="L703">
        <v>68001000</v>
      </c>
      <c r="M703">
        <v>19142000</v>
      </c>
    </row>
    <row r="704" spans="1:13">
      <c r="A704" t="s">
        <v>120</v>
      </c>
      <c r="B704" t="s">
        <v>292</v>
      </c>
      <c r="C704" t="s">
        <v>131</v>
      </c>
      <c r="D704" t="s">
        <v>278</v>
      </c>
      <c r="E704" t="s">
        <v>237</v>
      </c>
      <c r="F704" t="s">
        <v>238</v>
      </c>
      <c r="G704" t="s">
        <v>7</v>
      </c>
      <c r="H704" t="s">
        <v>217</v>
      </c>
      <c r="I704" t="s">
        <v>217</v>
      </c>
      <c r="J704" t="s">
        <v>7</v>
      </c>
      <c r="K704" t="str">
        <f t="shared" si="10"/>
        <v>04220035</v>
      </c>
      <c r="L704">
        <v>68547000</v>
      </c>
      <c r="M704">
        <v>11001000</v>
      </c>
    </row>
    <row r="705" spans="1:13">
      <c r="A705" t="s">
        <v>120</v>
      </c>
      <c r="B705" t="s">
        <v>292</v>
      </c>
      <c r="C705" t="s">
        <v>173</v>
      </c>
      <c r="D705" t="s">
        <v>300</v>
      </c>
      <c r="E705" t="s">
        <v>237</v>
      </c>
      <c r="F705" t="s">
        <v>238</v>
      </c>
      <c r="G705" t="s">
        <v>7</v>
      </c>
      <c r="H705" t="s">
        <v>217</v>
      </c>
      <c r="I705" t="s">
        <v>217</v>
      </c>
      <c r="J705" t="s">
        <v>7</v>
      </c>
      <c r="K705" t="str">
        <f t="shared" si="10"/>
        <v>04220433</v>
      </c>
      <c r="L705">
        <v>68547000</v>
      </c>
      <c r="M705">
        <v>5001000</v>
      </c>
    </row>
    <row r="706" spans="1:13">
      <c r="A706" t="s">
        <v>120</v>
      </c>
      <c r="B706" t="s">
        <v>292</v>
      </c>
      <c r="C706" t="s">
        <v>187</v>
      </c>
      <c r="D706" t="s">
        <v>299</v>
      </c>
      <c r="E706" t="s">
        <v>237</v>
      </c>
      <c r="F706" t="s">
        <v>238</v>
      </c>
      <c r="G706" t="s">
        <v>7</v>
      </c>
      <c r="H706" t="s">
        <v>217</v>
      </c>
      <c r="I706" t="s">
        <v>217</v>
      </c>
      <c r="J706" t="s">
        <v>7</v>
      </c>
      <c r="K706" t="str">
        <f t="shared" si="10"/>
        <v>04220436</v>
      </c>
      <c r="L706">
        <v>68001000</v>
      </c>
      <c r="M706">
        <v>20001000</v>
      </c>
    </row>
    <row r="707" spans="1:13">
      <c r="A707" t="s">
        <v>160</v>
      </c>
      <c r="B707" t="s">
        <v>287</v>
      </c>
      <c r="C707" t="s">
        <v>116</v>
      </c>
      <c r="D707" t="s">
        <v>235</v>
      </c>
      <c r="E707" t="s">
        <v>237</v>
      </c>
      <c r="F707" t="s">
        <v>238</v>
      </c>
      <c r="G707" t="s">
        <v>7</v>
      </c>
      <c r="H707" t="s">
        <v>217</v>
      </c>
      <c r="I707" t="s">
        <v>217</v>
      </c>
      <c r="J707" t="s">
        <v>7</v>
      </c>
      <c r="K707" t="str">
        <f t="shared" ref="K707:K770" si="11">A707&amp;C707</f>
        <v>04230021</v>
      </c>
      <c r="L707">
        <v>68001000</v>
      </c>
      <c r="M707">
        <v>11001000</v>
      </c>
    </row>
    <row r="708" spans="1:13">
      <c r="A708" t="s">
        <v>160</v>
      </c>
      <c r="B708" t="s">
        <v>287</v>
      </c>
      <c r="C708" t="s">
        <v>120</v>
      </c>
      <c r="D708" t="s">
        <v>292</v>
      </c>
      <c r="E708" t="s">
        <v>237</v>
      </c>
      <c r="F708" t="s">
        <v>238</v>
      </c>
      <c r="G708" t="s">
        <v>7</v>
      </c>
      <c r="H708" t="s">
        <v>217</v>
      </c>
      <c r="I708" t="s">
        <v>217</v>
      </c>
      <c r="J708" t="s">
        <v>7</v>
      </c>
      <c r="K708" t="str">
        <f t="shared" si="11"/>
        <v>04230422</v>
      </c>
      <c r="L708">
        <v>68549000</v>
      </c>
      <c r="M708">
        <v>68547000</v>
      </c>
    </row>
    <row r="709" spans="1:13">
      <c r="A709" t="s">
        <v>160</v>
      </c>
      <c r="B709" t="s">
        <v>287</v>
      </c>
      <c r="C709" t="s">
        <v>141</v>
      </c>
      <c r="D709" t="s">
        <v>250</v>
      </c>
      <c r="E709" t="s">
        <v>237</v>
      </c>
      <c r="F709" t="s">
        <v>238</v>
      </c>
      <c r="G709" t="s">
        <v>7</v>
      </c>
      <c r="H709" t="s">
        <v>217</v>
      </c>
      <c r="I709" t="s">
        <v>217</v>
      </c>
      <c r="J709" t="s">
        <v>7</v>
      </c>
      <c r="K709" t="str">
        <f t="shared" si="11"/>
        <v>04230198</v>
      </c>
      <c r="L709">
        <v>68001000</v>
      </c>
      <c r="M709">
        <v>66001000</v>
      </c>
    </row>
    <row r="710" spans="1:13">
      <c r="A710" t="s">
        <v>160</v>
      </c>
      <c r="B710" t="s">
        <v>287</v>
      </c>
      <c r="C710" t="s">
        <v>132</v>
      </c>
      <c r="D710" t="s">
        <v>255</v>
      </c>
      <c r="E710" t="s">
        <v>237</v>
      </c>
      <c r="F710" t="s">
        <v>238</v>
      </c>
      <c r="G710" t="s">
        <v>7</v>
      </c>
      <c r="H710" t="s">
        <v>217</v>
      </c>
      <c r="I710" t="s">
        <v>217</v>
      </c>
      <c r="J710" t="s">
        <v>7</v>
      </c>
      <c r="K710" t="str">
        <f t="shared" si="11"/>
        <v>04230441</v>
      </c>
      <c r="L710">
        <v>68001000</v>
      </c>
      <c r="M710">
        <v>15238000</v>
      </c>
    </row>
    <row r="711" spans="1:13">
      <c r="A711" t="s">
        <v>134</v>
      </c>
      <c r="B711" t="s">
        <v>281</v>
      </c>
      <c r="C711" t="s">
        <v>116</v>
      </c>
      <c r="D711" t="s">
        <v>235</v>
      </c>
      <c r="E711" t="s">
        <v>237</v>
      </c>
      <c r="F711" t="s">
        <v>238</v>
      </c>
      <c r="G711" t="s">
        <v>7</v>
      </c>
      <c r="H711" t="s">
        <v>217</v>
      </c>
      <c r="I711" t="s">
        <v>217</v>
      </c>
      <c r="J711" t="s">
        <v>7</v>
      </c>
      <c r="K711" t="str">
        <f t="shared" si="11"/>
        <v>04240021</v>
      </c>
      <c r="L711">
        <v>68081000</v>
      </c>
      <c r="M711">
        <v>11001000</v>
      </c>
    </row>
    <row r="712" spans="1:13">
      <c r="A712" t="s">
        <v>134</v>
      </c>
      <c r="B712" t="s">
        <v>281</v>
      </c>
      <c r="C712" t="s">
        <v>132</v>
      </c>
      <c r="D712" t="s">
        <v>255</v>
      </c>
      <c r="E712" t="s">
        <v>237</v>
      </c>
      <c r="F712" t="s">
        <v>238</v>
      </c>
      <c r="G712" t="s">
        <v>7</v>
      </c>
      <c r="H712" t="s">
        <v>217</v>
      </c>
      <c r="I712" t="s">
        <v>217</v>
      </c>
      <c r="J712" t="s">
        <v>7</v>
      </c>
      <c r="K712" t="str">
        <f t="shared" si="11"/>
        <v>04240441</v>
      </c>
      <c r="L712">
        <v>68081000</v>
      </c>
      <c r="M712">
        <v>15238000</v>
      </c>
    </row>
    <row r="713" spans="1:13">
      <c r="A713" t="s">
        <v>134</v>
      </c>
      <c r="B713" t="s">
        <v>281</v>
      </c>
      <c r="C713" t="s">
        <v>173</v>
      </c>
      <c r="D713" t="s">
        <v>300</v>
      </c>
      <c r="E713" t="s">
        <v>237</v>
      </c>
      <c r="F713" t="s">
        <v>238</v>
      </c>
      <c r="G713" t="s">
        <v>7</v>
      </c>
      <c r="H713" t="s">
        <v>217</v>
      </c>
      <c r="I713" t="s">
        <v>217</v>
      </c>
      <c r="J713" t="s">
        <v>7</v>
      </c>
      <c r="K713" t="str">
        <f t="shared" si="11"/>
        <v>04240433</v>
      </c>
      <c r="L713">
        <v>68081000</v>
      </c>
      <c r="M713">
        <v>5579000</v>
      </c>
    </row>
    <row r="714" spans="1:13">
      <c r="A714" t="s">
        <v>134</v>
      </c>
      <c r="B714" t="s">
        <v>281</v>
      </c>
      <c r="C714" t="s">
        <v>148</v>
      </c>
      <c r="D714" t="s">
        <v>294</v>
      </c>
      <c r="E714" t="s">
        <v>237</v>
      </c>
      <c r="F714" t="s">
        <v>238</v>
      </c>
      <c r="G714" t="s">
        <v>7</v>
      </c>
      <c r="H714" t="s">
        <v>217</v>
      </c>
      <c r="I714" t="s">
        <v>217</v>
      </c>
      <c r="J714" t="s">
        <v>7</v>
      </c>
      <c r="K714" t="str">
        <f t="shared" si="11"/>
        <v>04240437</v>
      </c>
      <c r="L714">
        <v>68081000</v>
      </c>
      <c r="M714">
        <v>20011000</v>
      </c>
    </row>
    <row r="715" spans="1:13">
      <c r="A715" t="s">
        <v>134</v>
      </c>
      <c r="B715" t="s">
        <v>281</v>
      </c>
      <c r="C715" t="s">
        <v>187</v>
      </c>
      <c r="D715" t="s">
        <v>299</v>
      </c>
      <c r="E715" t="s">
        <v>237</v>
      </c>
      <c r="F715" t="s">
        <v>238</v>
      </c>
      <c r="G715" t="s">
        <v>7</v>
      </c>
      <c r="H715" t="s">
        <v>217</v>
      </c>
      <c r="I715" t="s">
        <v>217</v>
      </c>
      <c r="J715" t="s">
        <v>7</v>
      </c>
      <c r="K715" t="str">
        <f t="shared" si="11"/>
        <v>04240436</v>
      </c>
      <c r="L715">
        <v>68081000</v>
      </c>
      <c r="M715">
        <v>20001000</v>
      </c>
    </row>
    <row r="716" spans="1:13">
      <c r="A716" t="s">
        <v>134</v>
      </c>
      <c r="B716" t="s">
        <v>281</v>
      </c>
      <c r="C716" t="s">
        <v>165</v>
      </c>
      <c r="D716" t="s">
        <v>295</v>
      </c>
      <c r="E716" t="s">
        <v>237</v>
      </c>
      <c r="F716" t="s">
        <v>238</v>
      </c>
      <c r="G716" t="s">
        <v>7</v>
      </c>
      <c r="H716" t="s">
        <v>217</v>
      </c>
      <c r="I716" t="s">
        <v>217</v>
      </c>
      <c r="J716" t="s">
        <v>7</v>
      </c>
      <c r="K716" t="str">
        <f t="shared" si="11"/>
        <v>04240434</v>
      </c>
      <c r="L716">
        <v>68081000</v>
      </c>
      <c r="M716">
        <v>20001000</v>
      </c>
    </row>
    <row r="717" spans="1:13">
      <c r="A717" t="s">
        <v>134</v>
      </c>
      <c r="B717" t="s">
        <v>281</v>
      </c>
      <c r="C717" t="s">
        <v>121</v>
      </c>
      <c r="D717" t="s">
        <v>282</v>
      </c>
      <c r="E717" t="s">
        <v>237</v>
      </c>
      <c r="F717" t="s">
        <v>238</v>
      </c>
      <c r="G717" t="s">
        <v>7</v>
      </c>
      <c r="H717" t="s">
        <v>217</v>
      </c>
      <c r="I717" t="s">
        <v>217</v>
      </c>
      <c r="J717" t="s">
        <v>7</v>
      </c>
      <c r="K717" t="str">
        <f t="shared" si="11"/>
        <v>04240438</v>
      </c>
      <c r="L717">
        <v>68081000</v>
      </c>
      <c r="M717">
        <v>54001000</v>
      </c>
    </row>
    <row r="718" spans="1:13">
      <c r="A718" t="s">
        <v>134</v>
      </c>
      <c r="B718" t="s">
        <v>281</v>
      </c>
      <c r="C718" t="s">
        <v>120</v>
      </c>
      <c r="D718" t="s">
        <v>292</v>
      </c>
      <c r="E718" t="s">
        <v>237</v>
      </c>
      <c r="F718" t="s">
        <v>238</v>
      </c>
      <c r="G718" t="s">
        <v>7</v>
      </c>
      <c r="H718" t="s">
        <v>217</v>
      </c>
      <c r="I718" t="s">
        <v>217</v>
      </c>
      <c r="J718" t="s">
        <v>7</v>
      </c>
      <c r="K718" t="str">
        <f t="shared" si="11"/>
        <v>04240422</v>
      </c>
      <c r="L718">
        <v>68081000</v>
      </c>
      <c r="M718">
        <v>68547000</v>
      </c>
    </row>
    <row r="719" spans="1:13">
      <c r="A719" t="s">
        <v>165</v>
      </c>
      <c r="B719" t="s">
        <v>295</v>
      </c>
      <c r="C719" t="s">
        <v>121</v>
      </c>
      <c r="D719" t="s">
        <v>282</v>
      </c>
      <c r="E719" t="s">
        <v>237</v>
      </c>
      <c r="F719" t="s">
        <v>238</v>
      </c>
      <c r="G719" t="s">
        <v>7</v>
      </c>
      <c r="H719" t="s">
        <v>217</v>
      </c>
      <c r="I719" t="s">
        <v>217</v>
      </c>
      <c r="J719" t="s">
        <v>7</v>
      </c>
      <c r="K719" t="str">
        <f t="shared" si="11"/>
        <v>04340438</v>
      </c>
      <c r="L719">
        <v>54498000</v>
      </c>
      <c r="M719">
        <v>54001000</v>
      </c>
    </row>
    <row r="720" spans="1:13">
      <c r="A720" t="s">
        <v>148</v>
      </c>
      <c r="B720" t="s">
        <v>294</v>
      </c>
      <c r="C720" t="s">
        <v>120</v>
      </c>
      <c r="D720" t="s">
        <v>292</v>
      </c>
      <c r="E720" t="s">
        <v>237</v>
      </c>
      <c r="F720" t="s">
        <v>238</v>
      </c>
      <c r="G720" t="s">
        <v>7</v>
      </c>
      <c r="H720" t="s">
        <v>217</v>
      </c>
      <c r="I720" t="s">
        <v>217</v>
      </c>
      <c r="J720" t="s">
        <v>7</v>
      </c>
      <c r="K720" t="str">
        <f t="shared" si="11"/>
        <v>04370422</v>
      </c>
      <c r="L720">
        <v>20011000</v>
      </c>
      <c r="M720">
        <v>68001000</v>
      </c>
    </row>
    <row r="721" spans="1:13">
      <c r="A721" t="s">
        <v>121</v>
      </c>
      <c r="B721" t="s">
        <v>282</v>
      </c>
      <c r="C721" t="s">
        <v>116</v>
      </c>
      <c r="D721" t="s">
        <v>235</v>
      </c>
      <c r="E721" t="s">
        <v>237</v>
      </c>
      <c r="F721" t="s">
        <v>238</v>
      </c>
      <c r="G721" t="s">
        <v>7</v>
      </c>
      <c r="H721" t="s">
        <v>217</v>
      </c>
      <c r="I721" t="s">
        <v>217</v>
      </c>
      <c r="J721" t="s">
        <v>7</v>
      </c>
      <c r="K721" t="str">
        <f t="shared" si="11"/>
        <v>04380021</v>
      </c>
      <c r="L721">
        <v>54001000</v>
      </c>
      <c r="M721">
        <v>11001000</v>
      </c>
    </row>
    <row r="722" spans="1:13">
      <c r="A722" t="s">
        <v>121</v>
      </c>
      <c r="B722" t="s">
        <v>282</v>
      </c>
      <c r="C722" t="s">
        <v>132</v>
      </c>
      <c r="D722" t="s">
        <v>255</v>
      </c>
      <c r="E722" t="s">
        <v>237</v>
      </c>
      <c r="F722" t="s">
        <v>238</v>
      </c>
      <c r="G722" t="s">
        <v>7</v>
      </c>
      <c r="H722" t="s">
        <v>217</v>
      </c>
      <c r="I722" t="s">
        <v>217</v>
      </c>
      <c r="J722" t="s">
        <v>7</v>
      </c>
      <c r="K722" t="str">
        <f t="shared" si="11"/>
        <v>04380441</v>
      </c>
      <c r="L722">
        <v>54001000</v>
      </c>
      <c r="M722">
        <v>15238000</v>
      </c>
    </row>
    <row r="723" spans="1:13">
      <c r="A723" t="s">
        <v>121</v>
      </c>
      <c r="B723" t="s">
        <v>282</v>
      </c>
      <c r="C723" t="s">
        <v>165</v>
      </c>
      <c r="D723" t="s">
        <v>295</v>
      </c>
      <c r="E723" t="s">
        <v>237</v>
      </c>
      <c r="F723" t="s">
        <v>238</v>
      </c>
      <c r="G723" t="s">
        <v>7</v>
      </c>
      <c r="H723" t="s">
        <v>217</v>
      </c>
      <c r="I723" t="s">
        <v>217</v>
      </c>
      <c r="J723" t="s">
        <v>7</v>
      </c>
      <c r="K723" t="str">
        <f t="shared" si="11"/>
        <v>04380434</v>
      </c>
      <c r="L723">
        <v>54001000</v>
      </c>
      <c r="M723">
        <v>54498000</v>
      </c>
    </row>
    <row r="724" spans="1:13">
      <c r="A724" t="s">
        <v>121</v>
      </c>
      <c r="B724" t="s">
        <v>282</v>
      </c>
      <c r="C724" t="s">
        <v>189</v>
      </c>
      <c r="D724" t="s">
        <v>296</v>
      </c>
      <c r="E724" t="s">
        <v>237</v>
      </c>
      <c r="F724" t="s">
        <v>238</v>
      </c>
      <c r="G724" t="s">
        <v>7</v>
      </c>
      <c r="H724" t="s">
        <v>217</v>
      </c>
      <c r="I724" t="s">
        <v>217</v>
      </c>
      <c r="J724" t="s">
        <v>7</v>
      </c>
      <c r="K724" t="str">
        <f t="shared" si="11"/>
        <v>04380439</v>
      </c>
      <c r="L724">
        <v>54001000</v>
      </c>
      <c r="M724">
        <v>54518000</v>
      </c>
    </row>
    <row r="725" spans="1:13">
      <c r="A725" t="s">
        <v>121</v>
      </c>
      <c r="B725" t="s">
        <v>282</v>
      </c>
      <c r="C725" t="s">
        <v>149</v>
      </c>
      <c r="D725" t="s">
        <v>286</v>
      </c>
      <c r="E725" t="s">
        <v>237</v>
      </c>
      <c r="F725" t="s">
        <v>238</v>
      </c>
      <c r="G725" t="s">
        <v>7</v>
      </c>
      <c r="H725" t="s">
        <v>217</v>
      </c>
      <c r="I725" t="s">
        <v>217</v>
      </c>
      <c r="J725" t="s">
        <v>7</v>
      </c>
      <c r="K725" t="str">
        <f t="shared" si="11"/>
        <v>04380447</v>
      </c>
      <c r="L725">
        <v>54001000</v>
      </c>
      <c r="M725">
        <v>20001000</v>
      </c>
    </row>
    <row r="726" spans="1:13">
      <c r="A726" t="s">
        <v>121</v>
      </c>
      <c r="B726" t="s">
        <v>282</v>
      </c>
      <c r="C726" t="s">
        <v>141</v>
      </c>
      <c r="D726" t="s">
        <v>250</v>
      </c>
      <c r="E726" t="s">
        <v>237</v>
      </c>
      <c r="F726" t="s">
        <v>238</v>
      </c>
      <c r="G726" t="s">
        <v>7</v>
      </c>
      <c r="H726" t="s">
        <v>217</v>
      </c>
      <c r="I726" t="s">
        <v>217</v>
      </c>
      <c r="J726" t="s">
        <v>7</v>
      </c>
      <c r="K726" t="str">
        <f t="shared" si="11"/>
        <v>04380198</v>
      </c>
      <c r="L726">
        <v>54001000</v>
      </c>
      <c r="M726">
        <v>66001000</v>
      </c>
    </row>
    <row r="727" spans="1:13">
      <c r="A727" t="s">
        <v>121</v>
      </c>
      <c r="B727" t="s">
        <v>282</v>
      </c>
      <c r="C727" t="s">
        <v>117</v>
      </c>
      <c r="D727" t="s">
        <v>251</v>
      </c>
      <c r="E727" t="s">
        <v>237</v>
      </c>
      <c r="F727" t="s">
        <v>238</v>
      </c>
      <c r="G727" t="s">
        <v>7</v>
      </c>
      <c r="H727" t="s">
        <v>217</v>
      </c>
      <c r="I727" t="s">
        <v>217</v>
      </c>
      <c r="J727" t="s">
        <v>7</v>
      </c>
      <c r="K727" t="str">
        <f t="shared" si="11"/>
        <v>04380410</v>
      </c>
      <c r="L727">
        <v>54001000</v>
      </c>
      <c r="M727">
        <v>76892000</v>
      </c>
    </row>
    <row r="728" spans="1:13">
      <c r="A728" t="s">
        <v>121</v>
      </c>
      <c r="B728" t="s">
        <v>282</v>
      </c>
      <c r="C728" t="s">
        <v>120</v>
      </c>
      <c r="D728" t="s">
        <v>292</v>
      </c>
      <c r="E728" t="s">
        <v>237</v>
      </c>
      <c r="F728" t="s">
        <v>238</v>
      </c>
      <c r="G728" t="s">
        <v>7</v>
      </c>
      <c r="H728" t="s">
        <v>217</v>
      </c>
      <c r="I728" t="s">
        <v>217</v>
      </c>
      <c r="J728" t="s">
        <v>7</v>
      </c>
      <c r="K728" t="str">
        <f t="shared" si="11"/>
        <v>04380422</v>
      </c>
      <c r="L728">
        <v>54001000</v>
      </c>
      <c r="M728">
        <v>68547000</v>
      </c>
    </row>
    <row r="729" spans="1:13">
      <c r="A729" t="s">
        <v>121</v>
      </c>
      <c r="B729" t="s">
        <v>282</v>
      </c>
      <c r="C729" t="s">
        <v>119</v>
      </c>
      <c r="D729" t="s">
        <v>274</v>
      </c>
      <c r="E729" t="s">
        <v>237</v>
      </c>
      <c r="F729" t="s">
        <v>238</v>
      </c>
      <c r="G729" t="s">
        <v>7</v>
      </c>
      <c r="H729" t="s">
        <v>217</v>
      </c>
      <c r="I729" t="s">
        <v>217</v>
      </c>
      <c r="J729" t="s">
        <v>7</v>
      </c>
      <c r="K729" t="str">
        <f t="shared" si="11"/>
        <v>04380111</v>
      </c>
      <c r="L729">
        <v>54001000</v>
      </c>
      <c r="M729">
        <v>8433000</v>
      </c>
    </row>
    <row r="730" spans="1:13">
      <c r="A730" t="s">
        <v>121</v>
      </c>
      <c r="B730" t="s">
        <v>282</v>
      </c>
      <c r="C730" t="s">
        <v>131</v>
      </c>
      <c r="D730" t="s">
        <v>278</v>
      </c>
      <c r="E730" t="s">
        <v>237</v>
      </c>
      <c r="F730" t="s">
        <v>238</v>
      </c>
      <c r="G730" t="s">
        <v>7</v>
      </c>
      <c r="H730" t="s">
        <v>217</v>
      </c>
      <c r="I730" t="s">
        <v>217</v>
      </c>
      <c r="J730" t="s">
        <v>7</v>
      </c>
      <c r="K730" t="str">
        <f t="shared" si="11"/>
        <v>04380035</v>
      </c>
      <c r="L730">
        <v>54001000</v>
      </c>
      <c r="M730">
        <v>25799000</v>
      </c>
    </row>
    <row r="731" spans="1:13">
      <c r="A731" t="s">
        <v>132</v>
      </c>
      <c r="B731" t="s">
        <v>255</v>
      </c>
      <c r="C731" t="s">
        <v>116</v>
      </c>
      <c r="D731" t="s">
        <v>235</v>
      </c>
      <c r="E731" t="s">
        <v>237</v>
      </c>
      <c r="F731" t="s">
        <v>238</v>
      </c>
      <c r="G731" t="s">
        <v>7</v>
      </c>
      <c r="H731" t="s">
        <v>217</v>
      </c>
      <c r="I731" t="s">
        <v>217</v>
      </c>
      <c r="J731" t="s">
        <v>7</v>
      </c>
      <c r="K731" t="str">
        <f t="shared" si="11"/>
        <v>04410021</v>
      </c>
      <c r="L731">
        <v>15238000</v>
      </c>
      <c r="M731">
        <v>11001000</v>
      </c>
    </row>
    <row r="732" spans="1:13">
      <c r="A732" t="s">
        <v>132</v>
      </c>
      <c r="B732" t="s">
        <v>255</v>
      </c>
      <c r="C732" t="s">
        <v>147</v>
      </c>
      <c r="D732" t="s">
        <v>236</v>
      </c>
      <c r="E732" t="s">
        <v>237</v>
      </c>
      <c r="F732" t="s">
        <v>238</v>
      </c>
      <c r="G732" t="s">
        <v>7</v>
      </c>
      <c r="H732" t="s">
        <v>217</v>
      </c>
      <c r="I732" t="s">
        <v>217</v>
      </c>
      <c r="J732" t="s">
        <v>7</v>
      </c>
      <c r="K732" t="str">
        <f t="shared" si="11"/>
        <v>04410022</v>
      </c>
      <c r="L732">
        <v>15238000</v>
      </c>
      <c r="M732">
        <v>25430000</v>
      </c>
    </row>
    <row r="733" spans="1:13">
      <c r="A733" t="s">
        <v>132</v>
      </c>
      <c r="B733" t="s">
        <v>255</v>
      </c>
      <c r="C733" t="s">
        <v>180</v>
      </c>
      <c r="D733" t="s">
        <v>240</v>
      </c>
      <c r="E733" t="s">
        <v>237</v>
      </c>
      <c r="F733" t="s">
        <v>238</v>
      </c>
      <c r="G733" t="s">
        <v>7</v>
      </c>
      <c r="H733" t="s">
        <v>217</v>
      </c>
      <c r="I733" t="s">
        <v>217</v>
      </c>
      <c r="J733" t="s">
        <v>7</v>
      </c>
      <c r="K733" t="str">
        <f t="shared" si="11"/>
        <v>04410025</v>
      </c>
      <c r="L733">
        <v>15238000</v>
      </c>
      <c r="M733">
        <v>11001000</v>
      </c>
    </row>
    <row r="734" spans="1:13">
      <c r="A734" t="s">
        <v>132</v>
      </c>
      <c r="B734" t="s">
        <v>255</v>
      </c>
      <c r="C734" t="s">
        <v>134</v>
      </c>
      <c r="D734" t="s">
        <v>281</v>
      </c>
      <c r="E734" t="s">
        <v>237</v>
      </c>
      <c r="F734" t="s">
        <v>238</v>
      </c>
      <c r="G734" t="s">
        <v>7</v>
      </c>
      <c r="H734" t="s">
        <v>217</v>
      </c>
      <c r="I734" t="s">
        <v>217</v>
      </c>
      <c r="J734" t="s">
        <v>7</v>
      </c>
      <c r="K734" t="str">
        <f t="shared" si="11"/>
        <v>04410424</v>
      </c>
      <c r="L734">
        <v>15238000</v>
      </c>
      <c r="M734">
        <v>68081000</v>
      </c>
    </row>
    <row r="735" spans="1:13">
      <c r="A735" t="s">
        <v>132</v>
      </c>
      <c r="B735" t="s">
        <v>255</v>
      </c>
      <c r="C735" t="s">
        <v>154</v>
      </c>
      <c r="D735" t="s">
        <v>283</v>
      </c>
      <c r="E735" t="s">
        <v>237</v>
      </c>
      <c r="F735" t="s">
        <v>238</v>
      </c>
      <c r="G735" t="s">
        <v>7</v>
      </c>
      <c r="H735" t="s">
        <v>217</v>
      </c>
      <c r="I735" t="s">
        <v>217</v>
      </c>
      <c r="J735" t="s">
        <v>7</v>
      </c>
      <c r="K735" t="str">
        <f t="shared" si="11"/>
        <v>04410442</v>
      </c>
      <c r="L735">
        <v>15238000</v>
      </c>
      <c r="M735">
        <v>85001000</v>
      </c>
    </row>
    <row r="736" spans="1:13">
      <c r="A736" t="s">
        <v>132</v>
      </c>
      <c r="B736" t="s">
        <v>255</v>
      </c>
      <c r="C736" t="s">
        <v>158</v>
      </c>
      <c r="D736" t="s">
        <v>284</v>
      </c>
      <c r="E736" t="s">
        <v>237</v>
      </c>
      <c r="F736" t="s">
        <v>238</v>
      </c>
      <c r="G736" t="s">
        <v>7</v>
      </c>
      <c r="H736" t="s">
        <v>217</v>
      </c>
      <c r="I736" t="s">
        <v>217</v>
      </c>
      <c r="J736" t="s">
        <v>7</v>
      </c>
      <c r="K736" t="str">
        <f t="shared" si="11"/>
        <v>04410444</v>
      </c>
      <c r="L736">
        <v>15238000</v>
      </c>
      <c r="M736">
        <v>15176000</v>
      </c>
    </row>
    <row r="737" spans="1:13">
      <c r="A737" t="s">
        <v>132</v>
      </c>
      <c r="B737" t="s">
        <v>255</v>
      </c>
      <c r="C737" t="s">
        <v>157</v>
      </c>
      <c r="D737" t="s">
        <v>288</v>
      </c>
      <c r="E737" t="s">
        <v>237</v>
      </c>
      <c r="F737" t="s">
        <v>238</v>
      </c>
      <c r="G737" t="s">
        <v>7</v>
      </c>
      <c r="H737" t="s">
        <v>217</v>
      </c>
      <c r="I737" t="s">
        <v>217</v>
      </c>
      <c r="J737" t="s">
        <v>7</v>
      </c>
      <c r="K737" t="str">
        <f t="shared" si="11"/>
        <v>04410446</v>
      </c>
      <c r="L737">
        <v>11001000</v>
      </c>
      <c r="M737">
        <v>68077000</v>
      </c>
    </row>
    <row r="738" spans="1:13">
      <c r="A738" t="s">
        <v>132</v>
      </c>
      <c r="B738" t="s">
        <v>255</v>
      </c>
      <c r="C738" t="s">
        <v>173</v>
      </c>
      <c r="D738" t="s">
        <v>300</v>
      </c>
      <c r="E738" t="s">
        <v>237</v>
      </c>
      <c r="F738" t="s">
        <v>238</v>
      </c>
      <c r="G738" t="s">
        <v>7</v>
      </c>
      <c r="H738" t="s">
        <v>217</v>
      </c>
      <c r="I738" t="s">
        <v>217</v>
      </c>
      <c r="J738" t="s">
        <v>7</v>
      </c>
      <c r="K738" t="str">
        <f t="shared" si="11"/>
        <v>04410433</v>
      </c>
      <c r="L738">
        <v>15238000</v>
      </c>
      <c r="M738">
        <v>5001000</v>
      </c>
    </row>
    <row r="739" spans="1:13">
      <c r="A739" t="s">
        <v>132</v>
      </c>
      <c r="B739" t="s">
        <v>255</v>
      </c>
      <c r="C739" t="s">
        <v>148</v>
      </c>
      <c r="D739" t="s">
        <v>294</v>
      </c>
      <c r="E739" t="s">
        <v>237</v>
      </c>
      <c r="F739" t="s">
        <v>238</v>
      </c>
      <c r="G739" t="s">
        <v>7</v>
      </c>
      <c r="H739" t="s">
        <v>217</v>
      </c>
      <c r="I739" t="s">
        <v>217</v>
      </c>
      <c r="J739" t="s">
        <v>7</v>
      </c>
      <c r="K739" t="str">
        <f t="shared" si="11"/>
        <v>04410437</v>
      </c>
      <c r="L739">
        <v>15238000</v>
      </c>
      <c r="M739">
        <v>68081000</v>
      </c>
    </row>
    <row r="740" spans="1:13">
      <c r="A740" t="s">
        <v>132</v>
      </c>
      <c r="B740" t="s">
        <v>255</v>
      </c>
      <c r="C740" t="s">
        <v>165</v>
      </c>
      <c r="D740" t="s">
        <v>295</v>
      </c>
      <c r="E740" t="s">
        <v>237</v>
      </c>
      <c r="F740" t="s">
        <v>238</v>
      </c>
      <c r="G740" t="s">
        <v>7</v>
      </c>
      <c r="H740" t="s">
        <v>217</v>
      </c>
      <c r="I740" t="s">
        <v>217</v>
      </c>
      <c r="J740" t="s">
        <v>7</v>
      </c>
      <c r="K740" t="str">
        <f t="shared" si="11"/>
        <v>04410434</v>
      </c>
      <c r="L740">
        <v>15238000</v>
      </c>
      <c r="M740">
        <v>20001000</v>
      </c>
    </row>
    <row r="741" spans="1:13">
      <c r="A741" t="s">
        <v>132</v>
      </c>
      <c r="B741" t="s">
        <v>255</v>
      </c>
      <c r="C741" t="s">
        <v>118</v>
      </c>
      <c r="D741" t="s">
        <v>112</v>
      </c>
      <c r="E741" t="s">
        <v>237</v>
      </c>
      <c r="F741" t="s">
        <v>238</v>
      </c>
      <c r="G741" t="s">
        <v>7</v>
      </c>
      <c r="H741" t="s">
        <v>217</v>
      </c>
      <c r="I741" t="s">
        <v>217</v>
      </c>
      <c r="J741" t="s">
        <v>7</v>
      </c>
      <c r="K741" t="str">
        <f t="shared" si="11"/>
        <v>04410079</v>
      </c>
      <c r="L741">
        <v>15238000</v>
      </c>
      <c r="M741">
        <v>5001000</v>
      </c>
    </row>
    <row r="742" spans="1:13">
      <c r="A742" t="s">
        <v>132</v>
      </c>
      <c r="B742" t="s">
        <v>255</v>
      </c>
      <c r="C742" t="s">
        <v>185</v>
      </c>
      <c r="D742" t="s">
        <v>257</v>
      </c>
      <c r="E742" t="s">
        <v>237</v>
      </c>
      <c r="F742" t="s">
        <v>238</v>
      </c>
      <c r="G742" t="s">
        <v>7</v>
      </c>
      <c r="H742" t="s">
        <v>217</v>
      </c>
      <c r="I742" t="s">
        <v>217</v>
      </c>
      <c r="J742" t="s">
        <v>7</v>
      </c>
      <c r="K742" t="str">
        <f t="shared" si="11"/>
        <v>04410080</v>
      </c>
      <c r="L742">
        <v>15238000</v>
      </c>
      <c r="M742">
        <v>5001000</v>
      </c>
    </row>
    <row r="743" spans="1:13">
      <c r="A743" t="s">
        <v>132</v>
      </c>
      <c r="B743" t="s">
        <v>255</v>
      </c>
      <c r="C743" t="s">
        <v>133</v>
      </c>
      <c r="D743" t="s">
        <v>241</v>
      </c>
      <c r="E743" t="s">
        <v>237</v>
      </c>
      <c r="F743" t="s">
        <v>238</v>
      </c>
      <c r="G743" t="s">
        <v>7</v>
      </c>
      <c r="H743" t="s">
        <v>217</v>
      </c>
      <c r="I743" t="s">
        <v>217</v>
      </c>
      <c r="J743" t="s">
        <v>7</v>
      </c>
      <c r="K743" t="str">
        <f t="shared" si="11"/>
        <v>04410090</v>
      </c>
      <c r="L743">
        <v>15238000</v>
      </c>
      <c r="M743">
        <v>5001000</v>
      </c>
    </row>
    <row r="744" spans="1:13">
      <c r="A744" t="s">
        <v>132</v>
      </c>
      <c r="B744" t="s">
        <v>255</v>
      </c>
      <c r="C744" t="s">
        <v>124</v>
      </c>
      <c r="D744" t="s">
        <v>242</v>
      </c>
      <c r="E744" t="s">
        <v>237</v>
      </c>
      <c r="F744" t="s">
        <v>238</v>
      </c>
      <c r="G744" t="s">
        <v>7</v>
      </c>
      <c r="H744" t="s">
        <v>217</v>
      </c>
      <c r="I744" t="s">
        <v>217</v>
      </c>
      <c r="J744" t="s">
        <v>7</v>
      </c>
      <c r="K744" t="str">
        <f t="shared" si="11"/>
        <v>04410092</v>
      </c>
      <c r="L744">
        <v>15238000</v>
      </c>
      <c r="M744">
        <v>5001000</v>
      </c>
    </row>
    <row r="745" spans="1:13">
      <c r="A745" t="s">
        <v>132</v>
      </c>
      <c r="B745" t="s">
        <v>255</v>
      </c>
      <c r="C745" t="s">
        <v>140</v>
      </c>
      <c r="D745" t="s">
        <v>243</v>
      </c>
      <c r="E745" t="s">
        <v>237</v>
      </c>
      <c r="F745" t="s">
        <v>238</v>
      </c>
      <c r="G745" t="s">
        <v>7</v>
      </c>
      <c r="H745" t="s">
        <v>217</v>
      </c>
      <c r="I745" t="s">
        <v>217</v>
      </c>
      <c r="J745" t="s">
        <v>7</v>
      </c>
      <c r="K745" t="str">
        <f t="shared" si="11"/>
        <v>04410113</v>
      </c>
      <c r="L745">
        <v>15238000</v>
      </c>
      <c r="M745">
        <v>13001000</v>
      </c>
    </row>
    <row r="746" spans="1:13">
      <c r="A746" t="s">
        <v>132</v>
      </c>
      <c r="B746" t="s">
        <v>255</v>
      </c>
      <c r="C746" t="s">
        <v>159</v>
      </c>
      <c r="D746" t="s">
        <v>279</v>
      </c>
      <c r="E746" t="s">
        <v>237</v>
      </c>
      <c r="F746" t="s">
        <v>238</v>
      </c>
      <c r="G746" t="s">
        <v>7</v>
      </c>
      <c r="H746" t="s">
        <v>217</v>
      </c>
      <c r="I746" t="s">
        <v>217</v>
      </c>
      <c r="J746" t="s">
        <v>7</v>
      </c>
      <c r="K746" t="str">
        <f t="shared" si="11"/>
        <v>04410384</v>
      </c>
      <c r="L746">
        <v>15238000</v>
      </c>
      <c r="M746">
        <v>23001000</v>
      </c>
    </row>
    <row r="747" spans="1:13">
      <c r="A747" t="s">
        <v>132</v>
      </c>
      <c r="B747" t="s">
        <v>255</v>
      </c>
      <c r="C747" t="s">
        <v>156</v>
      </c>
      <c r="D747" t="s">
        <v>244</v>
      </c>
      <c r="E747" t="s">
        <v>237</v>
      </c>
      <c r="F747" t="s">
        <v>238</v>
      </c>
      <c r="G747" t="s">
        <v>7</v>
      </c>
      <c r="H747" t="s">
        <v>217</v>
      </c>
      <c r="I747" t="s">
        <v>217</v>
      </c>
      <c r="J747" t="s">
        <v>7</v>
      </c>
      <c r="K747" t="str">
        <f t="shared" si="11"/>
        <v>04410118</v>
      </c>
      <c r="L747">
        <v>15238000</v>
      </c>
      <c r="M747">
        <v>47001000</v>
      </c>
    </row>
    <row r="748" spans="1:13">
      <c r="A748" t="s">
        <v>132</v>
      </c>
      <c r="B748" t="s">
        <v>255</v>
      </c>
      <c r="C748" t="s">
        <v>172</v>
      </c>
      <c r="D748" t="s">
        <v>258</v>
      </c>
      <c r="E748" t="s">
        <v>237</v>
      </c>
      <c r="F748" t="s">
        <v>238</v>
      </c>
      <c r="G748" t="s">
        <v>7</v>
      </c>
      <c r="H748" t="s">
        <v>217</v>
      </c>
      <c r="I748" t="s">
        <v>217</v>
      </c>
      <c r="J748" t="s">
        <v>7</v>
      </c>
      <c r="K748" t="str">
        <f t="shared" si="11"/>
        <v>04410230</v>
      </c>
      <c r="L748">
        <v>15238000</v>
      </c>
      <c r="M748">
        <v>44001000</v>
      </c>
    </row>
    <row r="749" spans="1:13">
      <c r="A749" t="s">
        <v>132</v>
      </c>
      <c r="B749" t="s">
        <v>255</v>
      </c>
      <c r="C749" t="s">
        <v>162</v>
      </c>
      <c r="D749" t="s">
        <v>245</v>
      </c>
      <c r="E749" t="s">
        <v>237</v>
      </c>
      <c r="F749" t="s">
        <v>238</v>
      </c>
      <c r="G749" t="s">
        <v>7</v>
      </c>
      <c r="H749" t="s">
        <v>217</v>
      </c>
      <c r="I749" t="s">
        <v>217</v>
      </c>
      <c r="J749" t="s">
        <v>7</v>
      </c>
      <c r="K749" t="str">
        <f t="shared" si="11"/>
        <v>04410126</v>
      </c>
      <c r="L749">
        <v>15238000</v>
      </c>
      <c r="M749">
        <v>19001000</v>
      </c>
    </row>
    <row r="750" spans="1:13">
      <c r="A750" t="s">
        <v>132</v>
      </c>
      <c r="B750" t="s">
        <v>255</v>
      </c>
      <c r="C750" t="s">
        <v>166</v>
      </c>
      <c r="D750" t="s">
        <v>246</v>
      </c>
      <c r="E750" t="s">
        <v>237</v>
      </c>
      <c r="F750" t="s">
        <v>238</v>
      </c>
      <c r="G750" t="s">
        <v>7</v>
      </c>
      <c r="H750" t="s">
        <v>217</v>
      </c>
      <c r="I750" t="s">
        <v>217</v>
      </c>
      <c r="J750" t="s">
        <v>7</v>
      </c>
      <c r="K750" t="str">
        <f t="shared" si="11"/>
        <v>04410131</v>
      </c>
      <c r="L750">
        <v>15238000</v>
      </c>
      <c r="M750">
        <v>76109000</v>
      </c>
    </row>
    <row r="751" spans="1:13">
      <c r="A751" t="s">
        <v>132</v>
      </c>
      <c r="B751" t="s">
        <v>255</v>
      </c>
      <c r="C751" t="s">
        <v>130</v>
      </c>
      <c r="D751" t="s">
        <v>247</v>
      </c>
      <c r="E751" t="s">
        <v>237</v>
      </c>
      <c r="F751" t="s">
        <v>238</v>
      </c>
      <c r="G751" t="s">
        <v>7</v>
      </c>
      <c r="H751" t="s">
        <v>217</v>
      </c>
      <c r="I751" t="s">
        <v>217</v>
      </c>
      <c r="J751" t="s">
        <v>7</v>
      </c>
      <c r="K751" t="str">
        <f t="shared" si="11"/>
        <v>04410134</v>
      </c>
      <c r="L751">
        <v>15238000</v>
      </c>
      <c r="M751">
        <v>66001000</v>
      </c>
    </row>
    <row r="752" spans="1:13">
      <c r="A752" t="s">
        <v>132</v>
      </c>
      <c r="B752" t="s">
        <v>255</v>
      </c>
      <c r="C752" t="s">
        <v>155</v>
      </c>
      <c r="D752" t="s">
        <v>248</v>
      </c>
      <c r="E752" t="s">
        <v>237</v>
      </c>
      <c r="F752" t="s">
        <v>238</v>
      </c>
      <c r="G752" t="s">
        <v>7</v>
      </c>
      <c r="H752" t="s">
        <v>217</v>
      </c>
      <c r="I752" t="s">
        <v>217</v>
      </c>
      <c r="J752" t="s">
        <v>7</v>
      </c>
      <c r="K752" t="str">
        <f t="shared" si="11"/>
        <v>04410142</v>
      </c>
      <c r="L752">
        <v>15238000</v>
      </c>
      <c r="M752">
        <v>63001000</v>
      </c>
    </row>
    <row r="753" spans="1:13">
      <c r="A753" t="s">
        <v>132</v>
      </c>
      <c r="B753" t="s">
        <v>255</v>
      </c>
      <c r="C753" t="s">
        <v>153</v>
      </c>
      <c r="D753" t="s">
        <v>249</v>
      </c>
      <c r="E753" t="s">
        <v>237</v>
      </c>
      <c r="F753" t="s">
        <v>238</v>
      </c>
      <c r="G753" t="s">
        <v>7</v>
      </c>
      <c r="H753" t="s">
        <v>217</v>
      </c>
      <c r="I753" t="s">
        <v>217</v>
      </c>
      <c r="J753" t="s">
        <v>7</v>
      </c>
      <c r="K753" t="str">
        <f t="shared" si="11"/>
        <v>04410145</v>
      </c>
      <c r="L753">
        <v>15238000</v>
      </c>
      <c r="M753">
        <v>17001000</v>
      </c>
    </row>
    <row r="754" spans="1:13">
      <c r="A754" t="s">
        <v>132</v>
      </c>
      <c r="B754" t="s">
        <v>255</v>
      </c>
      <c r="C754" t="s">
        <v>121</v>
      </c>
      <c r="D754" t="s">
        <v>282</v>
      </c>
      <c r="E754" t="s">
        <v>237</v>
      </c>
      <c r="F754" t="s">
        <v>238</v>
      </c>
      <c r="G754" t="s">
        <v>7</v>
      </c>
      <c r="H754" t="s">
        <v>217</v>
      </c>
      <c r="I754" t="s">
        <v>217</v>
      </c>
      <c r="J754" t="s">
        <v>7</v>
      </c>
      <c r="K754" t="str">
        <f t="shared" si="11"/>
        <v>04410438</v>
      </c>
      <c r="L754">
        <v>15238000</v>
      </c>
      <c r="M754">
        <v>54001000</v>
      </c>
    </row>
    <row r="755" spans="1:13">
      <c r="A755" t="s">
        <v>132</v>
      </c>
      <c r="B755" t="s">
        <v>255</v>
      </c>
      <c r="C755" t="s">
        <v>189</v>
      </c>
      <c r="D755" t="s">
        <v>296</v>
      </c>
      <c r="E755" t="s">
        <v>237</v>
      </c>
      <c r="F755" t="s">
        <v>238</v>
      </c>
      <c r="G755" t="s">
        <v>7</v>
      </c>
      <c r="H755" t="s">
        <v>217</v>
      </c>
      <c r="I755" t="s">
        <v>217</v>
      </c>
      <c r="J755" t="s">
        <v>7</v>
      </c>
      <c r="K755" t="str">
        <f t="shared" si="11"/>
        <v>04410439</v>
      </c>
      <c r="L755">
        <v>15238000</v>
      </c>
      <c r="M755">
        <v>54001000</v>
      </c>
    </row>
    <row r="756" spans="1:13">
      <c r="A756" t="s">
        <v>132</v>
      </c>
      <c r="B756" t="s">
        <v>255</v>
      </c>
      <c r="C756" t="s">
        <v>144</v>
      </c>
      <c r="D756" t="s">
        <v>285</v>
      </c>
      <c r="E756" t="s">
        <v>237</v>
      </c>
      <c r="F756" t="s">
        <v>238</v>
      </c>
      <c r="G756" t="s">
        <v>7</v>
      </c>
      <c r="H756" t="s">
        <v>217</v>
      </c>
      <c r="I756" t="s">
        <v>217</v>
      </c>
      <c r="J756" t="s">
        <v>7</v>
      </c>
      <c r="K756" t="str">
        <f t="shared" si="11"/>
        <v>04410443</v>
      </c>
      <c r="L756">
        <v>15238000</v>
      </c>
      <c r="M756">
        <v>15001000</v>
      </c>
    </row>
    <row r="757" spans="1:13">
      <c r="A757" t="s">
        <v>132</v>
      </c>
      <c r="B757" t="s">
        <v>255</v>
      </c>
      <c r="C757" t="s">
        <v>129</v>
      </c>
      <c r="D757" t="s">
        <v>280</v>
      </c>
      <c r="E757" t="s">
        <v>237</v>
      </c>
      <c r="F757" t="s">
        <v>238</v>
      </c>
      <c r="G757" t="s">
        <v>7</v>
      </c>
      <c r="H757" t="s">
        <v>217</v>
      </c>
      <c r="I757" t="s">
        <v>217</v>
      </c>
      <c r="J757" t="s">
        <v>7</v>
      </c>
      <c r="K757" t="str">
        <f t="shared" si="11"/>
        <v>04410381</v>
      </c>
      <c r="L757">
        <v>15238000</v>
      </c>
      <c r="M757">
        <v>23001000</v>
      </c>
    </row>
    <row r="758" spans="1:13">
      <c r="A758" t="s">
        <v>132</v>
      </c>
      <c r="B758" t="s">
        <v>255</v>
      </c>
      <c r="C758" t="s">
        <v>149</v>
      </c>
      <c r="D758" t="s">
        <v>286</v>
      </c>
      <c r="E758" t="s">
        <v>237</v>
      </c>
      <c r="F758" t="s">
        <v>238</v>
      </c>
      <c r="G758" t="s">
        <v>7</v>
      </c>
      <c r="H758" t="s">
        <v>217</v>
      </c>
      <c r="I758" t="s">
        <v>217</v>
      </c>
      <c r="J758" t="s">
        <v>7</v>
      </c>
      <c r="K758" t="str">
        <f t="shared" si="11"/>
        <v>04410447</v>
      </c>
      <c r="L758">
        <v>15238000</v>
      </c>
      <c r="M758">
        <v>20001000</v>
      </c>
    </row>
    <row r="759" spans="1:13">
      <c r="A759" t="s">
        <v>132</v>
      </c>
      <c r="B759" t="s">
        <v>255</v>
      </c>
      <c r="C759" t="s">
        <v>169</v>
      </c>
      <c r="D759" t="s">
        <v>291</v>
      </c>
      <c r="E759" t="s">
        <v>237</v>
      </c>
      <c r="F759" t="s">
        <v>238</v>
      </c>
      <c r="G759" t="s">
        <v>7</v>
      </c>
      <c r="H759" t="s">
        <v>217</v>
      </c>
      <c r="I759" t="s">
        <v>217</v>
      </c>
      <c r="J759" t="s">
        <v>7</v>
      </c>
      <c r="K759" t="str">
        <f t="shared" si="11"/>
        <v>04410449</v>
      </c>
      <c r="L759">
        <v>15238000</v>
      </c>
      <c r="M759">
        <v>47001000</v>
      </c>
    </row>
    <row r="760" spans="1:13">
      <c r="A760" t="s">
        <v>132</v>
      </c>
      <c r="B760" t="s">
        <v>255</v>
      </c>
      <c r="C760" t="s">
        <v>167</v>
      </c>
      <c r="D760" t="s">
        <v>298</v>
      </c>
      <c r="E760" t="s">
        <v>237</v>
      </c>
      <c r="F760" t="s">
        <v>238</v>
      </c>
      <c r="G760" t="s">
        <v>7</v>
      </c>
      <c r="H760" t="s">
        <v>217</v>
      </c>
      <c r="I760" t="s">
        <v>217</v>
      </c>
      <c r="J760" t="s">
        <v>7</v>
      </c>
      <c r="K760" t="str">
        <f t="shared" si="11"/>
        <v>04410448</v>
      </c>
      <c r="L760">
        <v>15238000</v>
      </c>
      <c r="M760">
        <v>20001000</v>
      </c>
    </row>
    <row r="761" spans="1:13">
      <c r="A761" t="s">
        <v>132</v>
      </c>
      <c r="B761" t="s">
        <v>255</v>
      </c>
      <c r="C761" t="s">
        <v>141</v>
      </c>
      <c r="D761" t="s">
        <v>250</v>
      </c>
      <c r="E761" t="s">
        <v>237</v>
      </c>
      <c r="F761" t="s">
        <v>238</v>
      </c>
      <c r="G761" t="s">
        <v>7</v>
      </c>
      <c r="H761" t="s">
        <v>217</v>
      </c>
      <c r="I761" t="s">
        <v>217</v>
      </c>
      <c r="J761" t="s">
        <v>7</v>
      </c>
      <c r="K761" t="str">
        <f t="shared" si="11"/>
        <v>04410198</v>
      </c>
      <c r="L761">
        <v>15238000</v>
      </c>
      <c r="M761">
        <v>66001000</v>
      </c>
    </row>
    <row r="762" spans="1:13">
      <c r="A762" t="s">
        <v>132</v>
      </c>
      <c r="B762" t="s">
        <v>255</v>
      </c>
      <c r="C762" t="s">
        <v>161</v>
      </c>
      <c r="D762" t="s">
        <v>293</v>
      </c>
      <c r="E762" t="s">
        <v>237</v>
      </c>
      <c r="F762" t="s">
        <v>238</v>
      </c>
      <c r="G762" t="s">
        <v>7</v>
      </c>
      <c r="H762" t="s">
        <v>217</v>
      </c>
      <c r="I762" t="s">
        <v>217</v>
      </c>
      <c r="J762" t="s">
        <v>7</v>
      </c>
      <c r="K762" t="str">
        <f t="shared" si="11"/>
        <v>04410382</v>
      </c>
      <c r="L762">
        <v>15238000</v>
      </c>
      <c r="M762">
        <v>70001000</v>
      </c>
    </row>
    <row r="763" spans="1:13">
      <c r="A763" t="s">
        <v>132</v>
      </c>
      <c r="B763" t="s">
        <v>255</v>
      </c>
      <c r="C763" t="s">
        <v>178</v>
      </c>
      <c r="D763" t="s">
        <v>297</v>
      </c>
      <c r="E763" t="s">
        <v>237</v>
      </c>
      <c r="F763" t="s">
        <v>238</v>
      </c>
      <c r="G763" t="s">
        <v>7</v>
      </c>
      <c r="H763" t="s">
        <v>217</v>
      </c>
      <c r="I763" t="s">
        <v>217</v>
      </c>
      <c r="J763" t="s">
        <v>7</v>
      </c>
      <c r="K763" t="str">
        <f t="shared" si="11"/>
        <v>04410383</v>
      </c>
      <c r="L763">
        <v>15238000</v>
      </c>
      <c r="M763">
        <v>70001000</v>
      </c>
    </row>
    <row r="764" spans="1:13">
      <c r="A764" t="s">
        <v>132</v>
      </c>
      <c r="B764" t="s">
        <v>255</v>
      </c>
      <c r="C764" t="s">
        <v>145</v>
      </c>
      <c r="D764" t="s">
        <v>254</v>
      </c>
      <c r="E764" t="s">
        <v>237</v>
      </c>
      <c r="F764" t="s">
        <v>238</v>
      </c>
      <c r="G764" t="s">
        <v>7</v>
      </c>
      <c r="H764" t="s">
        <v>217</v>
      </c>
      <c r="I764" t="s">
        <v>217</v>
      </c>
      <c r="J764" t="s">
        <v>7</v>
      </c>
      <c r="K764" t="str">
        <f t="shared" si="11"/>
        <v>04410358</v>
      </c>
      <c r="L764">
        <v>15238000</v>
      </c>
      <c r="M764">
        <v>76001000</v>
      </c>
    </row>
    <row r="765" spans="1:13">
      <c r="A765" t="s">
        <v>132</v>
      </c>
      <c r="B765" t="s">
        <v>255</v>
      </c>
      <c r="C765" t="s">
        <v>117</v>
      </c>
      <c r="D765" t="s">
        <v>251</v>
      </c>
      <c r="E765" t="s">
        <v>237</v>
      </c>
      <c r="F765" t="s">
        <v>238</v>
      </c>
      <c r="G765" t="s">
        <v>7</v>
      </c>
      <c r="H765" t="s">
        <v>217</v>
      </c>
      <c r="I765" t="s">
        <v>217</v>
      </c>
      <c r="J765" t="s">
        <v>7</v>
      </c>
      <c r="K765" t="str">
        <f t="shared" si="11"/>
        <v>04410410</v>
      </c>
      <c r="L765">
        <v>15238000</v>
      </c>
      <c r="M765">
        <v>76892000</v>
      </c>
    </row>
    <row r="766" spans="1:13">
      <c r="A766" t="s">
        <v>132</v>
      </c>
      <c r="B766" t="s">
        <v>255</v>
      </c>
      <c r="C766" t="s">
        <v>152</v>
      </c>
      <c r="D766" t="s">
        <v>252</v>
      </c>
      <c r="E766" t="s">
        <v>237</v>
      </c>
      <c r="F766" t="s">
        <v>238</v>
      </c>
      <c r="G766" t="s">
        <v>7</v>
      </c>
      <c r="H766" t="s">
        <v>217</v>
      </c>
      <c r="I766" t="s">
        <v>217</v>
      </c>
      <c r="J766" t="s">
        <v>7</v>
      </c>
      <c r="K766" t="str">
        <f t="shared" si="11"/>
        <v>04410411</v>
      </c>
      <c r="L766">
        <v>15238000</v>
      </c>
      <c r="M766">
        <v>76111000</v>
      </c>
    </row>
    <row r="767" spans="1:13">
      <c r="A767" t="s">
        <v>132</v>
      </c>
      <c r="B767" t="s">
        <v>255</v>
      </c>
      <c r="C767" t="s">
        <v>174</v>
      </c>
      <c r="D767" t="s">
        <v>253</v>
      </c>
      <c r="E767" t="s">
        <v>237</v>
      </c>
      <c r="F767" t="s">
        <v>238</v>
      </c>
      <c r="G767" t="s">
        <v>7</v>
      </c>
      <c r="H767" t="s">
        <v>217</v>
      </c>
      <c r="I767" t="s">
        <v>217</v>
      </c>
      <c r="J767" t="s">
        <v>7</v>
      </c>
      <c r="K767" t="str">
        <f t="shared" si="11"/>
        <v>04410412</v>
      </c>
      <c r="L767">
        <v>15238000</v>
      </c>
      <c r="M767">
        <v>76001000</v>
      </c>
    </row>
    <row r="768" spans="1:13">
      <c r="A768" t="s">
        <v>132</v>
      </c>
      <c r="B768" t="s">
        <v>255</v>
      </c>
      <c r="C768" t="s">
        <v>120</v>
      </c>
      <c r="D768" t="s">
        <v>292</v>
      </c>
      <c r="E768" t="s">
        <v>237</v>
      </c>
      <c r="F768" t="s">
        <v>238</v>
      </c>
      <c r="G768" t="s">
        <v>7</v>
      </c>
      <c r="H768" t="s">
        <v>217</v>
      </c>
      <c r="I768" t="s">
        <v>217</v>
      </c>
      <c r="J768" t="s">
        <v>7</v>
      </c>
      <c r="K768" t="str">
        <f t="shared" si="11"/>
        <v>04410422</v>
      </c>
      <c r="L768">
        <v>15238000</v>
      </c>
      <c r="M768">
        <v>68001000</v>
      </c>
    </row>
    <row r="769" spans="1:13">
      <c r="A769" t="s">
        <v>132</v>
      </c>
      <c r="B769" t="s">
        <v>255</v>
      </c>
      <c r="C769" t="s">
        <v>119</v>
      </c>
      <c r="D769" t="s">
        <v>274</v>
      </c>
      <c r="E769" t="s">
        <v>237</v>
      </c>
      <c r="F769" t="s">
        <v>238</v>
      </c>
      <c r="G769" t="s">
        <v>7</v>
      </c>
      <c r="H769" t="s">
        <v>217</v>
      </c>
      <c r="I769" t="s">
        <v>217</v>
      </c>
      <c r="J769" t="s">
        <v>7</v>
      </c>
      <c r="K769" t="str">
        <f t="shared" si="11"/>
        <v>04410111</v>
      </c>
      <c r="L769">
        <v>15238000</v>
      </c>
      <c r="M769">
        <v>8433000</v>
      </c>
    </row>
    <row r="770" spans="1:13">
      <c r="A770" t="s">
        <v>132</v>
      </c>
      <c r="B770" t="s">
        <v>255</v>
      </c>
      <c r="C770" t="s">
        <v>135</v>
      </c>
      <c r="D770" t="s">
        <v>290</v>
      </c>
      <c r="E770" t="s">
        <v>237</v>
      </c>
      <c r="F770" t="s">
        <v>238</v>
      </c>
      <c r="G770" t="s">
        <v>7</v>
      </c>
      <c r="H770" t="s">
        <v>217</v>
      </c>
      <c r="I770" t="s">
        <v>217</v>
      </c>
      <c r="J770" t="s">
        <v>7</v>
      </c>
      <c r="K770" t="str">
        <f t="shared" si="11"/>
        <v>04410393</v>
      </c>
      <c r="L770">
        <v>15238000</v>
      </c>
      <c r="M770">
        <v>50001000</v>
      </c>
    </row>
    <row r="771" spans="1:13">
      <c r="A771" t="s">
        <v>132</v>
      </c>
      <c r="B771" t="s">
        <v>255</v>
      </c>
      <c r="C771" t="s">
        <v>125</v>
      </c>
      <c r="D771" t="s">
        <v>277</v>
      </c>
      <c r="E771" t="s">
        <v>237</v>
      </c>
      <c r="F771" t="s">
        <v>238</v>
      </c>
      <c r="G771" t="s">
        <v>7</v>
      </c>
      <c r="H771" t="s">
        <v>217</v>
      </c>
      <c r="I771" t="s">
        <v>217</v>
      </c>
      <c r="J771" t="s">
        <v>7</v>
      </c>
      <c r="K771" t="str">
        <f t="shared" ref="K771:K834" si="12">A771&amp;C771</f>
        <v>04410445</v>
      </c>
      <c r="L771">
        <v>15238000</v>
      </c>
      <c r="M771">
        <v>76001000</v>
      </c>
    </row>
    <row r="772" spans="1:13">
      <c r="A772" t="s">
        <v>132</v>
      </c>
      <c r="B772" t="s">
        <v>255</v>
      </c>
      <c r="C772" t="s">
        <v>131</v>
      </c>
      <c r="D772" t="s">
        <v>278</v>
      </c>
      <c r="E772" t="s">
        <v>237</v>
      </c>
      <c r="F772" t="s">
        <v>238</v>
      </c>
      <c r="G772" t="s">
        <v>7</v>
      </c>
      <c r="H772" t="s">
        <v>217</v>
      </c>
      <c r="I772" t="s">
        <v>217</v>
      </c>
      <c r="J772" t="s">
        <v>7</v>
      </c>
      <c r="K772" t="str">
        <f t="shared" si="12"/>
        <v>04410035</v>
      </c>
      <c r="L772">
        <v>15238000</v>
      </c>
      <c r="M772">
        <v>25799000</v>
      </c>
    </row>
    <row r="773" spans="1:13">
      <c r="A773" t="s">
        <v>132</v>
      </c>
      <c r="B773" t="s">
        <v>255</v>
      </c>
      <c r="C773" t="s">
        <v>163</v>
      </c>
      <c r="D773" t="s">
        <v>275</v>
      </c>
      <c r="E773" t="s">
        <v>237</v>
      </c>
      <c r="F773" t="s">
        <v>238</v>
      </c>
      <c r="G773" t="s">
        <v>7</v>
      </c>
      <c r="H773" t="s">
        <v>217</v>
      </c>
      <c r="I773" t="s">
        <v>217</v>
      </c>
      <c r="J773" t="s">
        <v>7</v>
      </c>
      <c r="K773" t="str">
        <f t="shared" si="12"/>
        <v>04410032</v>
      </c>
      <c r="L773">
        <v>15238000</v>
      </c>
      <c r="M773">
        <v>11001000</v>
      </c>
    </row>
    <row r="774" spans="1:13">
      <c r="A774" t="s">
        <v>132</v>
      </c>
      <c r="B774" t="s">
        <v>255</v>
      </c>
      <c r="C774" t="s">
        <v>160</v>
      </c>
      <c r="D774" t="s">
        <v>287</v>
      </c>
      <c r="E774" t="s">
        <v>237</v>
      </c>
      <c r="F774" t="s">
        <v>238</v>
      </c>
      <c r="G774" t="s">
        <v>7</v>
      </c>
      <c r="H774" t="s">
        <v>217</v>
      </c>
      <c r="I774" t="s">
        <v>217</v>
      </c>
      <c r="J774" t="s">
        <v>7</v>
      </c>
      <c r="K774" t="str">
        <f t="shared" si="12"/>
        <v>04410423</v>
      </c>
      <c r="L774">
        <v>15238000</v>
      </c>
      <c r="M774">
        <v>68001000</v>
      </c>
    </row>
    <row r="775" spans="1:13">
      <c r="A775" t="s">
        <v>154</v>
      </c>
      <c r="B775" t="s">
        <v>283</v>
      </c>
      <c r="C775" t="s">
        <v>116</v>
      </c>
      <c r="D775" t="s">
        <v>235</v>
      </c>
      <c r="E775" t="s">
        <v>237</v>
      </c>
      <c r="F775" t="s">
        <v>238</v>
      </c>
      <c r="G775" t="s">
        <v>7</v>
      </c>
      <c r="H775" t="s">
        <v>217</v>
      </c>
      <c r="I775" t="s">
        <v>217</v>
      </c>
      <c r="J775" t="s">
        <v>7</v>
      </c>
      <c r="K775" t="str">
        <f t="shared" si="12"/>
        <v>04420021</v>
      </c>
      <c r="L775">
        <v>85001000</v>
      </c>
      <c r="M775">
        <v>11001000</v>
      </c>
    </row>
    <row r="776" spans="1:13">
      <c r="A776" t="s">
        <v>144</v>
      </c>
      <c r="B776" t="s">
        <v>285</v>
      </c>
      <c r="C776" t="s">
        <v>121</v>
      </c>
      <c r="D776" t="s">
        <v>282</v>
      </c>
      <c r="E776" t="s">
        <v>237</v>
      </c>
      <c r="F776" t="s">
        <v>238</v>
      </c>
      <c r="G776" t="s">
        <v>7</v>
      </c>
      <c r="H776" t="s">
        <v>217</v>
      </c>
      <c r="I776" t="s">
        <v>217</v>
      </c>
      <c r="J776" t="s">
        <v>7</v>
      </c>
      <c r="K776" t="str">
        <f t="shared" si="12"/>
        <v>04430438</v>
      </c>
      <c r="L776">
        <v>15238000</v>
      </c>
      <c r="M776">
        <v>54001000</v>
      </c>
    </row>
    <row r="777" spans="1:13">
      <c r="A777" t="s">
        <v>144</v>
      </c>
      <c r="B777" t="s">
        <v>285</v>
      </c>
      <c r="C777" t="s">
        <v>120</v>
      </c>
      <c r="D777" t="s">
        <v>292</v>
      </c>
      <c r="E777" t="s">
        <v>237</v>
      </c>
      <c r="F777" t="s">
        <v>238</v>
      </c>
      <c r="G777" t="s">
        <v>7</v>
      </c>
      <c r="H777" t="s">
        <v>217</v>
      </c>
      <c r="I777" t="s">
        <v>217</v>
      </c>
      <c r="J777" t="s">
        <v>7</v>
      </c>
      <c r="K777" t="str">
        <f t="shared" si="12"/>
        <v>04430422</v>
      </c>
      <c r="L777">
        <v>15001000</v>
      </c>
      <c r="M777">
        <v>68001000</v>
      </c>
    </row>
    <row r="778" spans="1:13">
      <c r="A778" t="s">
        <v>144</v>
      </c>
      <c r="B778" t="s">
        <v>285</v>
      </c>
      <c r="C778" t="s">
        <v>135</v>
      </c>
      <c r="D778" t="s">
        <v>290</v>
      </c>
      <c r="E778" t="s">
        <v>237</v>
      </c>
      <c r="F778" t="s">
        <v>238</v>
      </c>
      <c r="G778" t="s">
        <v>7</v>
      </c>
      <c r="H778" t="s">
        <v>217</v>
      </c>
      <c r="I778" t="s">
        <v>217</v>
      </c>
      <c r="J778" t="s">
        <v>7</v>
      </c>
      <c r="K778" t="str">
        <f t="shared" si="12"/>
        <v>04430393</v>
      </c>
      <c r="L778">
        <v>15238000</v>
      </c>
      <c r="M778">
        <v>50001000</v>
      </c>
    </row>
    <row r="779" spans="1:13">
      <c r="A779" t="s">
        <v>158</v>
      </c>
      <c r="B779" t="s">
        <v>284</v>
      </c>
      <c r="C779" t="s">
        <v>180</v>
      </c>
      <c r="D779" t="s">
        <v>240</v>
      </c>
      <c r="E779" t="s">
        <v>237</v>
      </c>
      <c r="F779" t="s">
        <v>238</v>
      </c>
      <c r="G779" t="s">
        <v>7</v>
      </c>
      <c r="H779" t="s">
        <v>217</v>
      </c>
      <c r="I779" t="s">
        <v>217</v>
      </c>
      <c r="J779" t="s">
        <v>7</v>
      </c>
      <c r="K779" t="str">
        <f t="shared" si="12"/>
        <v>04440025</v>
      </c>
      <c r="L779">
        <v>15176000</v>
      </c>
      <c r="M779">
        <v>11001000</v>
      </c>
    </row>
    <row r="780" spans="1:13">
      <c r="A780" t="s">
        <v>158</v>
      </c>
      <c r="B780" t="s">
        <v>284</v>
      </c>
      <c r="C780" t="s">
        <v>157</v>
      </c>
      <c r="D780" t="s">
        <v>288</v>
      </c>
      <c r="E780" t="s">
        <v>237</v>
      </c>
      <c r="F780" t="s">
        <v>238</v>
      </c>
      <c r="G780" t="s">
        <v>7</v>
      </c>
      <c r="H780" t="s">
        <v>217</v>
      </c>
      <c r="I780" t="s">
        <v>217</v>
      </c>
      <c r="J780" t="s">
        <v>7</v>
      </c>
      <c r="K780" t="str">
        <f t="shared" si="12"/>
        <v>04440446</v>
      </c>
      <c r="L780">
        <v>15176000</v>
      </c>
      <c r="M780">
        <v>15238000</v>
      </c>
    </row>
    <row r="781" spans="1:13">
      <c r="A781" t="s">
        <v>125</v>
      </c>
      <c r="B781" t="s">
        <v>277</v>
      </c>
      <c r="C781" t="s">
        <v>160</v>
      </c>
      <c r="D781" t="s">
        <v>287</v>
      </c>
      <c r="E781" t="s">
        <v>237</v>
      </c>
      <c r="F781" t="s">
        <v>238</v>
      </c>
      <c r="G781" t="s">
        <v>7</v>
      </c>
      <c r="H781" t="s">
        <v>217</v>
      </c>
      <c r="I781" t="s">
        <v>217</v>
      </c>
      <c r="J781" t="s">
        <v>7</v>
      </c>
      <c r="K781" t="str">
        <f t="shared" si="12"/>
        <v>04450423</v>
      </c>
      <c r="L781">
        <v>19142000</v>
      </c>
      <c r="M781">
        <v>68001000</v>
      </c>
    </row>
    <row r="782" spans="1:13">
      <c r="A782" t="s">
        <v>125</v>
      </c>
      <c r="B782" t="s">
        <v>277</v>
      </c>
      <c r="C782" t="s">
        <v>159</v>
      </c>
      <c r="D782" t="s">
        <v>279</v>
      </c>
      <c r="E782" t="s">
        <v>237</v>
      </c>
      <c r="F782" t="s">
        <v>238</v>
      </c>
      <c r="G782" t="s">
        <v>7</v>
      </c>
      <c r="H782" t="s">
        <v>217</v>
      </c>
      <c r="I782" t="s">
        <v>217</v>
      </c>
      <c r="J782" t="s">
        <v>7</v>
      </c>
      <c r="K782" t="str">
        <f t="shared" si="12"/>
        <v>04450384</v>
      </c>
      <c r="L782">
        <v>19142000</v>
      </c>
      <c r="M782">
        <v>23001000</v>
      </c>
    </row>
    <row r="783" spans="1:13">
      <c r="A783" t="s">
        <v>125</v>
      </c>
      <c r="B783" t="s">
        <v>277</v>
      </c>
      <c r="C783" t="s">
        <v>129</v>
      </c>
      <c r="D783" t="s">
        <v>280</v>
      </c>
      <c r="E783" t="s">
        <v>237</v>
      </c>
      <c r="F783" t="s">
        <v>238</v>
      </c>
      <c r="G783" t="s">
        <v>7</v>
      </c>
      <c r="H783" t="s">
        <v>217</v>
      </c>
      <c r="I783" t="s">
        <v>217</v>
      </c>
      <c r="J783" t="s">
        <v>7</v>
      </c>
      <c r="K783" t="str">
        <f t="shared" si="12"/>
        <v>04450381</v>
      </c>
      <c r="L783">
        <v>19142000</v>
      </c>
      <c r="M783">
        <v>23001000</v>
      </c>
    </row>
    <row r="784" spans="1:13">
      <c r="A784" t="s">
        <v>125</v>
      </c>
      <c r="B784" t="s">
        <v>277</v>
      </c>
      <c r="C784" t="s">
        <v>161</v>
      </c>
      <c r="D784" t="s">
        <v>293</v>
      </c>
      <c r="E784" t="s">
        <v>237</v>
      </c>
      <c r="F784" t="s">
        <v>238</v>
      </c>
      <c r="G784" t="s">
        <v>7</v>
      </c>
      <c r="H784" t="s">
        <v>217</v>
      </c>
      <c r="I784" t="s">
        <v>217</v>
      </c>
      <c r="J784" t="s">
        <v>7</v>
      </c>
      <c r="K784" t="str">
        <f t="shared" si="12"/>
        <v>04450382</v>
      </c>
      <c r="L784">
        <v>19142000</v>
      </c>
      <c r="M784">
        <v>23001000</v>
      </c>
    </row>
    <row r="785" spans="1:13">
      <c r="A785" t="s">
        <v>125</v>
      </c>
      <c r="B785" t="s">
        <v>277</v>
      </c>
      <c r="C785" t="s">
        <v>178</v>
      </c>
      <c r="D785" t="s">
        <v>297</v>
      </c>
      <c r="E785" t="s">
        <v>237</v>
      </c>
      <c r="F785" t="s">
        <v>238</v>
      </c>
      <c r="G785" t="s">
        <v>7</v>
      </c>
      <c r="H785" t="s">
        <v>217</v>
      </c>
      <c r="I785" t="s">
        <v>217</v>
      </c>
      <c r="J785" t="s">
        <v>7</v>
      </c>
      <c r="K785" t="str">
        <f t="shared" si="12"/>
        <v>04450383</v>
      </c>
      <c r="L785">
        <v>76001000</v>
      </c>
      <c r="M785">
        <v>70001000</v>
      </c>
    </row>
    <row r="786" spans="1:13">
      <c r="A786" t="s">
        <v>125</v>
      </c>
      <c r="B786" t="s">
        <v>277</v>
      </c>
      <c r="C786" t="s">
        <v>170</v>
      </c>
      <c r="D786" t="s">
        <v>270</v>
      </c>
      <c r="E786" t="s">
        <v>237</v>
      </c>
      <c r="F786" t="s">
        <v>238</v>
      </c>
      <c r="G786" t="s">
        <v>7</v>
      </c>
      <c r="H786" t="s">
        <v>217</v>
      </c>
      <c r="I786" t="s">
        <v>217</v>
      </c>
      <c r="J786" t="s">
        <v>7</v>
      </c>
      <c r="K786" t="str">
        <f t="shared" si="12"/>
        <v>04450392</v>
      </c>
      <c r="L786">
        <v>76001000</v>
      </c>
      <c r="M786">
        <v>73001000</v>
      </c>
    </row>
    <row r="787" spans="1:13">
      <c r="A787" t="s">
        <v>125</v>
      </c>
      <c r="B787" t="s">
        <v>277</v>
      </c>
      <c r="C787" t="s">
        <v>126</v>
      </c>
      <c r="D787" t="s">
        <v>267</v>
      </c>
      <c r="E787" t="s">
        <v>237</v>
      </c>
      <c r="F787" t="s">
        <v>238</v>
      </c>
      <c r="G787" t="s">
        <v>7</v>
      </c>
      <c r="H787" t="s">
        <v>217</v>
      </c>
      <c r="I787" t="s">
        <v>217</v>
      </c>
      <c r="J787" t="s">
        <v>7</v>
      </c>
      <c r="K787" t="str">
        <f t="shared" si="12"/>
        <v>04450389</v>
      </c>
      <c r="L787">
        <v>76001000</v>
      </c>
      <c r="M787">
        <v>73001000</v>
      </c>
    </row>
    <row r="788" spans="1:13">
      <c r="A788" t="s">
        <v>125</v>
      </c>
      <c r="B788" t="s">
        <v>277</v>
      </c>
      <c r="C788" t="s">
        <v>171</v>
      </c>
      <c r="D788" t="s">
        <v>269</v>
      </c>
      <c r="E788" t="s">
        <v>237</v>
      </c>
      <c r="F788" t="s">
        <v>238</v>
      </c>
      <c r="G788" t="s">
        <v>7</v>
      </c>
      <c r="H788" t="s">
        <v>217</v>
      </c>
      <c r="I788" t="s">
        <v>217</v>
      </c>
      <c r="J788" t="s">
        <v>7</v>
      </c>
      <c r="K788" t="str">
        <f t="shared" si="12"/>
        <v>04450391</v>
      </c>
      <c r="L788">
        <v>19142000</v>
      </c>
      <c r="M788">
        <v>11001000</v>
      </c>
    </row>
    <row r="789" spans="1:13">
      <c r="A789" t="s">
        <v>125</v>
      </c>
      <c r="B789" t="s">
        <v>277</v>
      </c>
      <c r="C789" t="s">
        <v>122</v>
      </c>
      <c r="D789" t="s">
        <v>289</v>
      </c>
      <c r="E789" t="s">
        <v>237</v>
      </c>
      <c r="F789" t="s">
        <v>238</v>
      </c>
      <c r="G789" t="s">
        <v>7</v>
      </c>
      <c r="H789" t="s">
        <v>217</v>
      </c>
      <c r="I789" t="s">
        <v>217</v>
      </c>
      <c r="J789" t="s">
        <v>7</v>
      </c>
      <c r="K789" t="str">
        <f t="shared" si="12"/>
        <v>04450385</v>
      </c>
      <c r="L789">
        <v>19142000</v>
      </c>
      <c r="M789">
        <v>41001000</v>
      </c>
    </row>
    <row r="790" spans="1:13">
      <c r="A790" t="s">
        <v>125</v>
      </c>
      <c r="B790" t="s">
        <v>277</v>
      </c>
      <c r="C790" t="s">
        <v>127</v>
      </c>
      <c r="D790" t="s">
        <v>268</v>
      </c>
      <c r="E790" t="s">
        <v>237</v>
      </c>
      <c r="F790" t="s">
        <v>238</v>
      </c>
      <c r="G790" t="s">
        <v>7</v>
      </c>
      <c r="H790" t="s">
        <v>217</v>
      </c>
      <c r="I790" t="s">
        <v>217</v>
      </c>
      <c r="J790" t="s">
        <v>7</v>
      </c>
      <c r="K790" t="str">
        <f t="shared" si="12"/>
        <v>04450390</v>
      </c>
      <c r="L790">
        <v>76001000</v>
      </c>
      <c r="M790">
        <v>73001000</v>
      </c>
    </row>
    <row r="791" spans="1:13">
      <c r="A791" t="s">
        <v>125</v>
      </c>
      <c r="B791" t="s">
        <v>277</v>
      </c>
      <c r="C791" t="s">
        <v>143</v>
      </c>
      <c r="D791" t="s">
        <v>266</v>
      </c>
      <c r="E791" t="s">
        <v>237</v>
      </c>
      <c r="F791" t="s">
        <v>238</v>
      </c>
      <c r="G791" t="s">
        <v>7</v>
      </c>
      <c r="H791" t="s">
        <v>217</v>
      </c>
      <c r="I791" t="s">
        <v>217</v>
      </c>
      <c r="J791" t="s">
        <v>7</v>
      </c>
      <c r="K791" t="str">
        <f t="shared" si="12"/>
        <v>04450388</v>
      </c>
      <c r="L791">
        <v>19142000</v>
      </c>
      <c r="M791">
        <v>41001000</v>
      </c>
    </row>
    <row r="792" spans="1:13">
      <c r="A792" t="s">
        <v>125</v>
      </c>
      <c r="B792" t="s">
        <v>277</v>
      </c>
      <c r="C792" t="s">
        <v>177</v>
      </c>
      <c r="D792" t="s">
        <v>264</v>
      </c>
      <c r="E792" t="s">
        <v>237</v>
      </c>
      <c r="F792" t="s">
        <v>238</v>
      </c>
      <c r="G792" t="s">
        <v>7</v>
      </c>
      <c r="H792" t="s">
        <v>217</v>
      </c>
      <c r="I792" t="s">
        <v>217</v>
      </c>
      <c r="J792" t="s">
        <v>7</v>
      </c>
      <c r="K792" t="str">
        <f t="shared" si="12"/>
        <v>04450386</v>
      </c>
      <c r="L792">
        <v>76001000</v>
      </c>
      <c r="M792">
        <v>73001000</v>
      </c>
    </row>
    <row r="793" spans="1:13">
      <c r="A793" t="s">
        <v>125</v>
      </c>
      <c r="B793" t="s">
        <v>277</v>
      </c>
      <c r="C793" t="s">
        <v>138</v>
      </c>
      <c r="D793" t="s">
        <v>265</v>
      </c>
      <c r="E793" t="s">
        <v>237</v>
      </c>
      <c r="F793" t="s">
        <v>238</v>
      </c>
      <c r="G793" t="s">
        <v>7</v>
      </c>
      <c r="H793" t="s">
        <v>217</v>
      </c>
      <c r="I793" t="s">
        <v>217</v>
      </c>
      <c r="J793" t="s">
        <v>7</v>
      </c>
      <c r="K793" t="str">
        <f t="shared" si="12"/>
        <v>04450387</v>
      </c>
      <c r="L793">
        <v>19142000</v>
      </c>
      <c r="M793">
        <v>41001000</v>
      </c>
    </row>
    <row r="794" spans="1:13">
      <c r="A794" t="s">
        <v>125</v>
      </c>
      <c r="B794" t="s">
        <v>277</v>
      </c>
      <c r="C794" t="s">
        <v>135</v>
      </c>
      <c r="D794" t="s">
        <v>290</v>
      </c>
      <c r="E794" t="s">
        <v>237</v>
      </c>
      <c r="F794" t="s">
        <v>238</v>
      </c>
      <c r="G794" t="s">
        <v>7</v>
      </c>
      <c r="H794" t="s">
        <v>217</v>
      </c>
      <c r="I794" t="s">
        <v>217</v>
      </c>
      <c r="J794" t="s">
        <v>7</v>
      </c>
      <c r="K794" t="str">
        <f t="shared" si="12"/>
        <v>04450393</v>
      </c>
      <c r="L794">
        <v>76001000</v>
      </c>
      <c r="M794">
        <v>50001000</v>
      </c>
    </row>
    <row r="795" spans="1:13">
      <c r="A795" t="s">
        <v>125</v>
      </c>
      <c r="B795" t="s">
        <v>277</v>
      </c>
      <c r="C795" t="s">
        <v>150</v>
      </c>
      <c r="D795" t="s">
        <v>256</v>
      </c>
      <c r="E795" t="s">
        <v>237</v>
      </c>
      <c r="F795" t="s">
        <v>238</v>
      </c>
      <c r="G795" t="s">
        <v>7</v>
      </c>
      <c r="H795" t="s">
        <v>217</v>
      </c>
      <c r="I795" t="s">
        <v>217</v>
      </c>
      <c r="J795" t="s">
        <v>7</v>
      </c>
      <c r="K795" t="str">
        <f t="shared" si="12"/>
        <v>04450394</v>
      </c>
      <c r="L795">
        <v>76001000</v>
      </c>
      <c r="M795">
        <v>50001000</v>
      </c>
    </row>
    <row r="796" spans="1:13">
      <c r="A796" t="s">
        <v>125</v>
      </c>
      <c r="B796" t="s">
        <v>277</v>
      </c>
      <c r="C796" t="s">
        <v>151</v>
      </c>
      <c r="D796" t="s">
        <v>271</v>
      </c>
      <c r="E796" t="s">
        <v>237</v>
      </c>
      <c r="F796" t="s">
        <v>238</v>
      </c>
      <c r="G796" t="s">
        <v>7</v>
      </c>
      <c r="H796" t="s">
        <v>217</v>
      </c>
      <c r="I796" t="s">
        <v>217</v>
      </c>
      <c r="J796" t="s">
        <v>7</v>
      </c>
      <c r="K796" t="str">
        <f t="shared" si="12"/>
        <v>04450395</v>
      </c>
      <c r="L796">
        <v>19142000</v>
      </c>
      <c r="M796">
        <v>52001000</v>
      </c>
    </row>
    <row r="797" spans="1:13">
      <c r="A797" t="s">
        <v>125</v>
      </c>
      <c r="B797" t="s">
        <v>277</v>
      </c>
      <c r="C797" t="s">
        <v>139</v>
      </c>
      <c r="D797" t="s">
        <v>273</v>
      </c>
      <c r="E797" t="s">
        <v>237</v>
      </c>
      <c r="F797" t="s">
        <v>238</v>
      </c>
      <c r="G797" t="s">
        <v>7</v>
      </c>
      <c r="H797" t="s">
        <v>217</v>
      </c>
      <c r="I797" t="s">
        <v>217</v>
      </c>
      <c r="J797" t="s">
        <v>7</v>
      </c>
      <c r="K797" t="str">
        <f t="shared" si="12"/>
        <v>04450397</v>
      </c>
      <c r="L797">
        <v>19142000</v>
      </c>
      <c r="M797">
        <v>52356000</v>
      </c>
    </row>
    <row r="798" spans="1:13">
      <c r="A798" t="s">
        <v>125</v>
      </c>
      <c r="B798" t="s">
        <v>277</v>
      </c>
      <c r="C798" t="s">
        <v>146</v>
      </c>
      <c r="D798" t="s">
        <v>272</v>
      </c>
      <c r="E798" t="s">
        <v>237</v>
      </c>
      <c r="F798" t="s">
        <v>238</v>
      </c>
      <c r="G798" t="s">
        <v>7</v>
      </c>
      <c r="H798" t="s">
        <v>217</v>
      </c>
      <c r="I798" t="s">
        <v>217</v>
      </c>
      <c r="J798" t="s">
        <v>7</v>
      </c>
      <c r="K798" t="str">
        <f t="shared" si="12"/>
        <v>04450396</v>
      </c>
      <c r="L798">
        <v>19142000</v>
      </c>
      <c r="M798">
        <v>52001000</v>
      </c>
    </row>
    <row r="799" spans="1:13">
      <c r="A799" t="s">
        <v>125</v>
      </c>
      <c r="B799" t="s">
        <v>277</v>
      </c>
      <c r="C799" t="s">
        <v>134</v>
      </c>
      <c r="D799" t="s">
        <v>281</v>
      </c>
      <c r="E799" t="s">
        <v>237</v>
      </c>
      <c r="F799" t="s">
        <v>238</v>
      </c>
      <c r="G799" t="s">
        <v>7</v>
      </c>
      <c r="H799" t="s">
        <v>217</v>
      </c>
      <c r="I799" t="s">
        <v>217</v>
      </c>
      <c r="J799" t="s">
        <v>7</v>
      </c>
      <c r="K799" t="str">
        <f t="shared" si="12"/>
        <v>04450424</v>
      </c>
      <c r="L799">
        <v>19142000</v>
      </c>
      <c r="M799">
        <v>68081000</v>
      </c>
    </row>
    <row r="800" spans="1:13">
      <c r="A800" t="s">
        <v>125</v>
      </c>
      <c r="B800" t="s">
        <v>277</v>
      </c>
      <c r="C800" t="s">
        <v>173</v>
      </c>
      <c r="D800" t="s">
        <v>300</v>
      </c>
      <c r="E800" t="s">
        <v>237</v>
      </c>
      <c r="F800" t="s">
        <v>238</v>
      </c>
      <c r="G800" t="s">
        <v>7</v>
      </c>
      <c r="H800" t="s">
        <v>217</v>
      </c>
      <c r="I800" t="s">
        <v>217</v>
      </c>
      <c r="J800" t="s">
        <v>7</v>
      </c>
      <c r="K800" t="str">
        <f t="shared" si="12"/>
        <v>04450433</v>
      </c>
      <c r="L800">
        <v>19142000</v>
      </c>
      <c r="M800">
        <v>5001000</v>
      </c>
    </row>
    <row r="801" spans="1:13">
      <c r="A801" t="s">
        <v>125</v>
      </c>
      <c r="B801" t="s">
        <v>277</v>
      </c>
      <c r="C801" t="s">
        <v>148</v>
      </c>
      <c r="D801" t="s">
        <v>294</v>
      </c>
      <c r="E801" t="s">
        <v>237</v>
      </c>
      <c r="F801" t="s">
        <v>238</v>
      </c>
      <c r="G801" t="s">
        <v>7</v>
      </c>
      <c r="H801" t="s">
        <v>217</v>
      </c>
      <c r="I801" t="s">
        <v>217</v>
      </c>
      <c r="J801" t="s">
        <v>7</v>
      </c>
      <c r="K801" t="str">
        <f t="shared" si="12"/>
        <v>04450437</v>
      </c>
      <c r="L801">
        <v>19142000</v>
      </c>
      <c r="M801">
        <v>68081000</v>
      </c>
    </row>
    <row r="802" spans="1:13">
      <c r="A802" t="s">
        <v>125</v>
      </c>
      <c r="B802" t="s">
        <v>277</v>
      </c>
      <c r="C802" t="s">
        <v>187</v>
      </c>
      <c r="D802" t="s">
        <v>299</v>
      </c>
      <c r="E802" t="s">
        <v>237</v>
      </c>
      <c r="F802" t="s">
        <v>238</v>
      </c>
      <c r="G802" t="s">
        <v>7</v>
      </c>
      <c r="H802" t="s">
        <v>217</v>
      </c>
      <c r="I802" t="s">
        <v>217</v>
      </c>
      <c r="J802" t="s">
        <v>7</v>
      </c>
      <c r="K802" t="str">
        <f t="shared" si="12"/>
        <v>04450436</v>
      </c>
      <c r="L802">
        <v>19142000</v>
      </c>
      <c r="M802">
        <v>20001000</v>
      </c>
    </row>
    <row r="803" spans="1:13">
      <c r="A803" t="s">
        <v>125</v>
      </c>
      <c r="B803" t="s">
        <v>277</v>
      </c>
      <c r="C803" t="s">
        <v>165</v>
      </c>
      <c r="D803" t="s">
        <v>295</v>
      </c>
      <c r="E803" t="s">
        <v>237</v>
      </c>
      <c r="F803" t="s">
        <v>238</v>
      </c>
      <c r="G803" t="s">
        <v>7</v>
      </c>
      <c r="H803" t="s">
        <v>217</v>
      </c>
      <c r="I803" t="s">
        <v>217</v>
      </c>
      <c r="J803" t="s">
        <v>7</v>
      </c>
      <c r="K803" t="str">
        <f t="shared" si="12"/>
        <v>04450434</v>
      </c>
      <c r="L803">
        <v>19142000</v>
      </c>
      <c r="M803">
        <v>20001000</v>
      </c>
    </row>
    <row r="804" spans="1:13">
      <c r="A804" t="s">
        <v>125</v>
      </c>
      <c r="B804" t="s">
        <v>277</v>
      </c>
      <c r="C804" t="s">
        <v>121</v>
      </c>
      <c r="D804" t="s">
        <v>282</v>
      </c>
      <c r="E804" t="s">
        <v>237</v>
      </c>
      <c r="F804" t="s">
        <v>238</v>
      </c>
      <c r="G804" t="s">
        <v>7</v>
      </c>
      <c r="H804" t="s">
        <v>217</v>
      </c>
      <c r="I804" t="s">
        <v>217</v>
      </c>
      <c r="J804" t="s">
        <v>7</v>
      </c>
      <c r="K804" t="str">
        <f t="shared" si="12"/>
        <v>04450438</v>
      </c>
      <c r="L804">
        <v>19142000</v>
      </c>
      <c r="M804">
        <v>54001000</v>
      </c>
    </row>
    <row r="805" spans="1:13">
      <c r="A805" t="s">
        <v>125</v>
      </c>
      <c r="B805" t="s">
        <v>277</v>
      </c>
      <c r="C805" t="s">
        <v>189</v>
      </c>
      <c r="D805" t="s">
        <v>296</v>
      </c>
      <c r="E805" t="s">
        <v>237</v>
      </c>
      <c r="F805" t="s">
        <v>238</v>
      </c>
      <c r="G805" t="s">
        <v>7</v>
      </c>
      <c r="H805" t="s">
        <v>217</v>
      </c>
      <c r="I805" t="s">
        <v>217</v>
      </c>
      <c r="J805" t="s">
        <v>7</v>
      </c>
      <c r="K805" t="str">
        <f t="shared" si="12"/>
        <v>04450439</v>
      </c>
      <c r="L805">
        <v>19142000</v>
      </c>
      <c r="M805">
        <v>54001000</v>
      </c>
    </row>
    <row r="806" spans="1:13">
      <c r="A806" t="s">
        <v>125</v>
      </c>
      <c r="B806" t="s">
        <v>277</v>
      </c>
      <c r="C806" t="s">
        <v>132</v>
      </c>
      <c r="D806" t="s">
        <v>255</v>
      </c>
      <c r="E806" t="s">
        <v>237</v>
      </c>
      <c r="F806" t="s">
        <v>238</v>
      </c>
      <c r="G806" t="s">
        <v>7</v>
      </c>
      <c r="H806" t="s">
        <v>217</v>
      </c>
      <c r="I806" t="s">
        <v>217</v>
      </c>
      <c r="J806" t="s">
        <v>7</v>
      </c>
      <c r="K806" t="str">
        <f t="shared" si="12"/>
        <v>04450441</v>
      </c>
      <c r="L806">
        <v>19142000</v>
      </c>
      <c r="M806">
        <v>11001000</v>
      </c>
    </row>
    <row r="807" spans="1:13">
      <c r="A807" t="s">
        <v>125</v>
      </c>
      <c r="B807" t="s">
        <v>277</v>
      </c>
      <c r="C807" t="s">
        <v>154</v>
      </c>
      <c r="D807" t="s">
        <v>283</v>
      </c>
      <c r="E807" t="s">
        <v>237</v>
      </c>
      <c r="F807" t="s">
        <v>238</v>
      </c>
      <c r="G807" t="s">
        <v>7</v>
      </c>
      <c r="H807" t="s">
        <v>217</v>
      </c>
      <c r="I807" t="s">
        <v>217</v>
      </c>
      <c r="J807" t="s">
        <v>7</v>
      </c>
      <c r="K807" t="str">
        <f t="shared" si="12"/>
        <v>04450442</v>
      </c>
      <c r="L807">
        <v>76001000</v>
      </c>
      <c r="M807">
        <v>85001000</v>
      </c>
    </row>
    <row r="808" spans="1:13">
      <c r="A808" t="s">
        <v>125</v>
      </c>
      <c r="B808" t="s">
        <v>277</v>
      </c>
      <c r="C808" t="s">
        <v>158</v>
      </c>
      <c r="D808" t="s">
        <v>284</v>
      </c>
      <c r="E808" t="s">
        <v>237</v>
      </c>
      <c r="F808" t="s">
        <v>238</v>
      </c>
      <c r="G808" t="s">
        <v>7</v>
      </c>
      <c r="H808" t="s">
        <v>217</v>
      </c>
      <c r="I808" t="s">
        <v>217</v>
      </c>
      <c r="J808" t="s">
        <v>7</v>
      </c>
      <c r="K808" t="str">
        <f t="shared" si="12"/>
        <v>04450444</v>
      </c>
      <c r="L808">
        <v>76001000</v>
      </c>
      <c r="M808">
        <v>15238000</v>
      </c>
    </row>
    <row r="809" spans="1:13">
      <c r="A809" t="s">
        <v>125</v>
      </c>
      <c r="B809" t="s">
        <v>277</v>
      </c>
      <c r="C809" t="s">
        <v>157</v>
      </c>
      <c r="D809" t="s">
        <v>288</v>
      </c>
      <c r="E809" t="s">
        <v>237</v>
      </c>
      <c r="F809" t="s">
        <v>238</v>
      </c>
      <c r="G809" t="s">
        <v>7</v>
      </c>
      <c r="H809" t="s">
        <v>217</v>
      </c>
      <c r="I809" t="s">
        <v>217</v>
      </c>
      <c r="J809" t="s">
        <v>7</v>
      </c>
      <c r="K809" t="str">
        <f t="shared" si="12"/>
        <v>04450446</v>
      </c>
      <c r="L809">
        <v>76001000</v>
      </c>
      <c r="M809">
        <v>15238000</v>
      </c>
    </row>
    <row r="810" spans="1:13">
      <c r="A810" t="s">
        <v>125</v>
      </c>
      <c r="B810" t="s">
        <v>277</v>
      </c>
      <c r="C810" t="s">
        <v>144</v>
      </c>
      <c r="D810" t="s">
        <v>285</v>
      </c>
      <c r="E810" t="s">
        <v>237</v>
      </c>
      <c r="F810" t="s">
        <v>238</v>
      </c>
      <c r="G810" t="s">
        <v>7</v>
      </c>
      <c r="H810" t="s">
        <v>217</v>
      </c>
      <c r="I810" t="s">
        <v>217</v>
      </c>
      <c r="J810" t="s">
        <v>7</v>
      </c>
      <c r="K810" t="str">
        <f t="shared" si="12"/>
        <v>04450443</v>
      </c>
      <c r="L810">
        <v>76001000</v>
      </c>
      <c r="M810">
        <v>15238000</v>
      </c>
    </row>
    <row r="811" spans="1:13">
      <c r="A811" t="s">
        <v>125</v>
      </c>
      <c r="B811" t="s">
        <v>277</v>
      </c>
      <c r="C811" t="s">
        <v>149</v>
      </c>
      <c r="D811" t="s">
        <v>286</v>
      </c>
      <c r="E811" t="s">
        <v>237</v>
      </c>
      <c r="F811" t="s">
        <v>238</v>
      </c>
      <c r="G811" t="s">
        <v>7</v>
      </c>
      <c r="H811" t="s">
        <v>217</v>
      </c>
      <c r="I811" t="s">
        <v>217</v>
      </c>
      <c r="J811" t="s">
        <v>7</v>
      </c>
      <c r="K811" t="str">
        <f t="shared" si="12"/>
        <v>04450447</v>
      </c>
      <c r="L811">
        <v>19142000</v>
      </c>
      <c r="M811">
        <v>20001000</v>
      </c>
    </row>
    <row r="812" spans="1:13">
      <c r="A812" t="s">
        <v>125</v>
      </c>
      <c r="B812" t="s">
        <v>277</v>
      </c>
      <c r="C812" t="s">
        <v>169</v>
      </c>
      <c r="D812" t="s">
        <v>291</v>
      </c>
      <c r="E812" t="s">
        <v>237</v>
      </c>
      <c r="F812" t="s">
        <v>238</v>
      </c>
      <c r="G812" t="s">
        <v>7</v>
      </c>
      <c r="H812" t="s">
        <v>217</v>
      </c>
      <c r="I812" t="s">
        <v>217</v>
      </c>
      <c r="J812" t="s">
        <v>7</v>
      </c>
      <c r="K812" t="str">
        <f t="shared" si="12"/>
        <v>04450449</v>
      </c>
      <c r="L812">
        <v>19142000</v>
      </c>
      <c r="M812">
        <v>47001000</v>
      </c>
    </row>
    <row r="813" spans="1:13">
      <c r="A813" t="s">
        <v>125</v>
      </c>
      <c r="B813" t="s">
        <v>277</v>
      </c>
      <c r="C813" t="s">
        <v>167</v>
      </c>
      <c r="D813" t="s">
        <v>298</v>
      </c>
      <c r="E813" t="s">
        <v>237</v>
      </c>
      <c r="F813" t="s">
        <v>238</v>
      </c>
      <c r="G813" t="s">
        <v>7</v>
      </c>
      <c r="H813" t="s">
        <v>217</v>
      </c>
      <c r="I813" t="s">
        <v>217</v>
      </c>
      <c r="J813" t="s">
        <v>7</v>
      </c>
      <c r="K813" t="str">
        <f t="shared" si="12"/>
        <v>04450448</v>
      </c>
      <c r="L813">
        <v>19142000</v>
      </c>
      <c r="M813">
        <v>20001000</v>
      </c>
    </row>
    <row r="814" spans="1:13">
      <c r="A814" t="s">
        <v>125</v>
      </c>
      <c r="B814" t="s">
        <v>277</v>
      </c>
      <c r="C814" t="s">
        <v>120</v>
      </c>
      <c r="D814" t="s">
        <v>292</v>
      </c>
      <c r="E814" t="s">
        <v>237</v>
      </c>
      <c r="F814" t="s">
        <v>238</v>
      </c>
      <c r="G814" t="s">
        <v>7</v>
      </c>
      <c r="H814" t="s">
        <v>217</v>
      </c>
      <c r="I814" t="s">
        <v>217</v>
      </c>
      <c r="J814" t="s">
        <v>7</v>
      </c>
      <c r="K814" t="str">
        <f t="shared" si="12"/>
        <v>04450422</v>
      </c>
      <c r="L814">
        <v>19142000</v>
      </c>
      <c r="M814">
        <v>68001000</v>
      </c>
    </row>
    <row r="815" spans="1:13">
      <c r="A815" t="s">
        <v>157</v>
      </c>
      <c r="B815" t="s">
        <v>288</v>
      </c>
      <c r="C815" t="s">
        <v>144</v>
      </c>
      <c r="D815" t="s">
        <v>285</v>
      </c>
      <c r="E815" t="s">
        <v>237</v>
      </c>
      <c r="F815" t="s">
        <v>238</v>
      </c>
      <c r="G815" t="s">
        <v>7</v>
      </c>
      <c r="H815" t="s">
        <v>217</v>
      </c>
      <c r="I815" t="s">
        <v>217</v>
      </c>
      <c r="J815" t="s">
        <v>7</v>
      </c>
      <c r="K815" t="str">
        <f t="shared" si="12"/>
        <v>04460443</v>
      </c>
      <c r="L815">
        <v>15238000</v>
      </c>
      <c r="M815">
        <v>15001000</v>
      </c>
    </row>
    <row r="816" spans="1:13">
      <c r="A816" t="s">
        <v>157</v>
      </c>
      <c r="B816" t="s">
        <v>288</v>
      </c>
      <c r="C816" t="s">
        <v>141</v>
      </c>
      <c r="D816" t="s">
        <v>250</v>
      </c>
      <c r="E816" t="s">
        <v>237</v>
      </c>
      <c r="F816" t="s">
        <v>238</v>
      </c>
      <c r="G816" t="s">
        <v>7</v>
      </c>
      <c r="H816" t="s">
        <v>217</v>
      </c>
      <c r="I816" t="s">
        <v>217</v>
      </c>
      <c r="J816" t="s">
        <v>7</v>
      </c>
      <c r="K816" t="str">
        <f t="shared" si="12"/>
        <v>04460198</v>
      </c>
      <c r="L816">
        <v>15238000</v>
      </c>
      <c r="M816">
        <v>66001000</v>
      </c>
    </row>
    <row r="817" spans="1:13">
      <c r="A817" t="s">
        <v>149</v>
      </c>
      <c r="B817" t="s">
        <v>286</v>
      </c>
      <c r="C817" t="s">
        <v>116</v>
      </c>
      <c r="D817" t="s">
        <v>235</v>
      </c>
      <c r="E817" t="s">
        <v>237</v>
      </c>
      <c r="F817" t="s">
        <v>238</v>
      </c>
      <c r="G817" t="s">
        <v>7</v>
      </c>
      <c r="H817" t="s">
        <v>217</v>
      </c>
      <c r="I817" t="s">
        <v>217</v>
      </c>
      <c r="J817" t="s">
        <v>7</v>
      </c>
      <c r="K817" t="str">
        <f t="shared" si="12"/>
        <v>04470021</v>
      </c>
      <c r="L817">
        <v>20001000</v>
      </c>
      <c r="M817">
        <v>11001000</v>
      </c>
    </row>
    <row r="818" spans="1:13">
      <c r="A818" t="s">
        <v>149</v>
      </c>
      <c r="B818" t="s">
        <v>286</v>
      </c>
      <c r="C818" t="s">
        <v>132</v>
      </c>
      <c r="D818" t="s">
        <v>255</v>
      </c>
      <c r="E818" t="s">
        <v>237</v>
      </c>
      <c r="F818" t="s">
        <v>238</v>
      </c>
      <c r="G818" t="s">
        <v>7</v>
      </c>
      <c r="H818" t="s">
        <v>217</v>
      </c>
      <c r="I818" t="s">
        <v>217</v>
      </c>
      <c r="J818" t="s">
        <v>7</v>
      </c>
      <c r="K818" t="str">
        <f t="shared" si="12"/>
        <v>04470441</v>
      </c>
      <c r="L818">
        <v>20001000</v>
      </c>
      <c r="M818">
        <v>15238000</v>
      </c>
    </row>
    <row r="819" spans="1:13">
      <c r="A819" t="s">
        <v>149</v>
      </c>
      <c r="B819" t="s">
        <v>286</v>
      </c>
      <c r="C819" t="s">
        <v>148</v>
      </c>
      <c r="D819" t="s">
        <v>294</v>
      </c>
      <c r="E819" t="s">
        <v>237</v>
      </c>
      <c r="F819" t="s">
        <v>238</v>
      </c>
      <c r="G819" t="s">
        <v>7</v>
      </c>
      <c r="H819" t="s">
        <v>217</v>
      </c>
      <c r="I819" t="s">
        <v>217</v>
      </c>
      <c r="J819" t="s">
        <v>7</v>
      </c>
      <c r="K819" t="str">
        <f t="shared" si="12"/>
        <v>04470437</v>
      </c>
      <c r="L819">
        <v>20001000</v>
      </c>
      <c r="M819">
        <v>68081000</v>
      </c>
    </row>
    <row r="820" spans="1:13">
      <c r="A820" t="s">
        <v>149</v>
      </c>
      <c r="B820" t="s">
        <v>286</v>
      </c>
      <c r="C820" t="s">
        <v>118</v>
      </c>
      <c r="D820" t="s">
        <v>112</v>
      </c>
      <c r="E820" t="s">
        <v>237</v>
      </c>
      <c r="F820" t="s">
        <v>238</v>
      </c>
      <c r="G820" t="s">
        <v>7</v>
      </c>
      <c r="H820" t="s">
        <v>217</v>
      </c>
      <c r="I820" t="s">
        <v>217</v>
      </c>
      <c r="J820" t="s">
        <v>7</v>
      </c>
      <c r="K820" t="str">
        <f t="shared" si="12"/>
        <v>04470079</v>
      </c>
      <c r="L820">
        <v>20001000</v>
      </c>
      <c r="M820">
        <v>5001000</v>
      </c>
    </row>
    <row r="821" spans="1:13">
      <c r="A821" t="s">
        <v>149</v>
      </c>
      <c r="B821" t="s">
        <v>286</v>
      </c>
      <c r="C821" t="s">
        <v>140</v>
      </c>
      <c r="D821" t="s">
        <v>243</v>
      </c>
      <c r="E821" t="s">
        <v>237</v>
      </c>
      <c r="F821" t="s">
        <v>238</v>
      </c>
      <c r="G821" t="s">
        <v>7</v>
      </c>
      <c r="H821" t="s">
        <v>217</v>
      </c>
      <c r="I821" t="s">
        <v>217</v>
      </c>
      <c r="J821" t="s">
        <v>7</v>
      </c>
      <c r="K821" t="str">
        <f t="shared" si="12"/>
        <v>04470113</v>
      </c>
      <c r="L821">
        <v>20001000</v>
      </c>
      <c r="M821">
        <v>13001000</v>
      </c>
    </row>
    <row r="822" spans="1:13">
      <c r="A822" t="s">
        <v>149</v>
      </c>
      <c r="B822" t="s">
        <v>286</v>
      </c>
      <c r="C822" t="s">
        <v>156</v>
      </c>
      <c r="D822" t="s">
        <v>244</v>
      </c>
      <c r="E822" t="s">
        <v>237</v>
      </c>
      <c r="F822" t="s">
        <v>238</v>
      </c>
      <c r="G822" t="s">
        <v>7</v>
      </c>
      <c r="H822" t="s">
        <v>217</v>
      </c>
      <c r="I822" t="s">
        <v>217</v>
      </c>
      <c r="J822" t="s">
        <v>7</v>
      </c>
      <c r="K822" t="str">
        <f t="shared" si="12"/>
        <v>04470118</v>
      </c>
      <c r="L822">
        <v>20001000</v>
      </c>
      <c r="M822">
        <v>47001000</v>
      </c>
    </row>
    <row r="823" spans="1:13">
      <c r="A823" t="s">
        <v>149</v>
      </c>
      <c r="B823" t="s">
        <v>286</v>
      </c>
      <c r="C823" t="s">
        <v>121</v>
      </c>
      <c r="D823" t="s">
        <v>282</v>
      </c>
      <c r="E823" t="s">
        <v>237</v>
      </c>
      <c r="F823" t="s">
        <v>238</v>
      </c>
      <c r="G823" t="s">
        <v>7</v>
      </c>
      <c r="H823" t="s">
        <v>217</v>
      </c>
      <c r="I823" t="s">
        <v>217</v>
      </c>
      <c r="J823" t="s">
        <v>7</v>
      </c>
      <c r="K823" t="str">
        <f t="shared" si="12"/>
        <v>04470438</v>
      </c>
      <c r="L823">
        <v>20001000</v>
      </c>
      <c r="M823">
        <v>54001000</v>
      </c>
    </row>
    <row r="824" spans="1:13">
      <c r="A824" t="s">
        <v>149</v>
      </c>
      <c r="B824" t="s">
        <v>286</v>
      </c>
      <c r="C824" t="s">
        <v>120</v>
      </c>
      <c r="D824" t="s">
        <v>292</v>
      </c>
      <c r="E824" t="s">
        <v>237</v>
      </c>
      <c r="F824" t="s">
        <v>238</v>
      </c>
      <c r="G824" t="s">
        <v>7</v>
      </c>
      <c r="H824" t="s">
        <v>217</v>
      </c>
      <c r="I824" t="s">
        <v>217</v>
      </c>
      <c r="J824" t="s">
        <v>7</v>
      </c>
      <c r="K824" t="str">
        <f t="shared" si="12"/>
        <v>04470422</v>
      </c>
      <c r="L824">
        <v>20001000</v>
      </c>
      <c r="M824">
        <v>68001000</v>
      </c>
    </row>
    <row r="825" spans="1:13">
      <c r="A825" t="s">
        <v>149</v>
      </c>
      <c r="B825" t="s">
        <v>286</v>
      </c>
      <c r="C825" t="s">
        <v>119</v>
      </c>
      <c r="D825" t="s">
        <v>274</v>
      </c>
      <c r="E825" t="s">
        <v>237</v>
      </c>
      <c r="F825" t="s">
        <v>238</v>
      </c>
      <c r="G825" t="s">
        <v>7</v>
      </c>
      <c r="H825" t="s">
        <v>217</v>
      </c>
      <c r="I825" t="s">
        <v>217</v>
      </c>
      <c r="J825" t="s">
        <v>7</v>
      </c>
      <c r="K825" t="str">
        <f t="shared" si="12"/>
        <v>04470111</v>
      </c>
      <c r="L825">
        <v>20001000</v>
      </c>
      <c r="M825">
        <v>8433000</v>
      </c>
    </row>
    <row r="826" spans="1:13">
      <c r="A826" t="s">
        <v>167</v>
      </c>
      <c r="B826" t="s">
        <v>298</v>
      </c>
      <c r="C826" t="s">
        <v>149</v>
      </c>
      <c r="D826" t="s">
        <v>286</v>
      </c>
      <c r="E826" t="s">
        <v>237</v>
      </c>
      <c r="F826" t="s">
        <v>238</v>
      </c>
      <c r="G826" t="s">
        <v>7</v>
      </c>
      <c r="H826" t="s">
        <v>217</v>
      </c>
      <c r="I826" t="s">
        <v>217</v>
      </c>
      <c r="J826" t="s">
        <v>7</v>
      </c>
      <c r="K826" t="str">
        <f t="shared" si="12"/>
        <v>04480447</v>
      </c>
      <c r="L826">
        <v>44279000</v>
      </c>
      <c r="M826">
        <v>20001000</v>
      </c>
    </row>
    <row r="827" spans="1:13">
      <c r="A827" t="s">
        <v>167</v>
      </c>
      <c r="B827" t="s">
        <v>298</v>
      </c>
      <c r="C827" t="s">
        <v>119</v>
      </c>
      <c r="D827" t="s">
        <v>274</v>
      </c>
      <c r="E827" t="s">
        <v>237</v>
      </c>
      <c r="F827" t="s">
        <v>238</v>
      </c>
      <c r="G827" t="s">
        <v>7</v>
      </c>
      <c r="H827" t="s">
        <v>217</v>
      </c>
      <c r="I827" t="s">
        <v>217</v>
      </c>
      <c r="J827" t="s">
        <v>7</v>
      </c>
      <c r="K827" t="str">
        <f t="shared" si="12"/>
        <v>04480111</v>
      </c>
      <c r="L827">
        <v>44279000</v>
      </c>
      <c r="M827">
        <v>8433000</v>
      </c>
    </row>
    <row r="828" spans="1:13">
      <c r="A828" t="s">
        <v>172</v>
      </c>
      <c r="B828" t="s">
        <v>258</v>
      </c>
      <c r="C828" t="s">
        <v>120</v>
      </c>
      <c r="D828" t="s">
        <v>292</v>
      </c>
      <c r="E828" t="s">
        <v>237</v>
      </c>
      <c r="F828" t="s">
        <v>238</v>
      </c>
      <c r="G828" t="s">
        <v>7</v>
      </c>
      <c r="H828" t="s">
        <v>217</v>
      </c>
      <c r="I828" t="s">
        <v>217</v>
      </c>
      <c r="J828" t="s">
        <v>7</v>
      </c>
      <c r="K828" t="str">
        <f t="shared" si="12"/>
        <v>02300422</v>
      </c>
      <c r="L828">
        <v>44430000</v>
      </c>
      <c r="M828">
        <v>68001000</v>
      </c>
    </row>
    <row r="829" spans="1:13">
      <c r="A829" t="s">
        <v>165</v>
      </c>
      <c r="B829" t="s">
        <v>295</v>
      </c>
      <c r="C829" t="s">
        <v>132</v>
      </c>
      <c r="D829" t="s">
        <v>255</v>
      </c>
      <c r="E829" t="s">
        <v>237</v>
      </c>
      <c r="F829" t="s">
        <v>238</v>
      </c>
      <c r="G829" t="s">
        <v>7</v>
      </c>
      <c r="H829" t="s">
        <v>217</v>
      </c>
      <c r="I829" t="s">
        <v>217</v>
      </c>
      <c r="J829" t="s">
        <v>7</v>
      </c>
      <c r="K829" t="str">
        <f t="shared" si="12"/>
        <v>04340441</v>
      </c>
      <c r="L829">
        <v>54498000</v>
      </c>
      <c r="M829">
        <v>11001000</v>
      </c>
    </row>
    <row r="830" spans="1:13">
      <c r="A830" t="s">
        <v>148</v>
      </c>
      <c r="B830" t="s">
        <v>294</v>
      </c>
      <c r="C830" t="s">
        <v>132</v>
      </c>
      <c r="D830" t="s">
        <v>255</v>
      </c>
      <c r="E830" t="s">
        <v>237</v>
      </c>
      <c r="F830" t="s">
        <v>238</v>
      </c>
      <c r="G830" t="s">
        <v>7</v>
      </c>
      <c r="H830" t="s">
        <v>217</v>
      </c>
      <c r="I830" t="s">
        <v>217</v>
      </c>
      <c r="J830" t="s">
        <v>7</v>
      </c>
      <c r="K830" t="str">
        <f t="shared" si="12"/>
        <v>04370441</v>
      </c>
      <c r="L830">
        <v>20011000</v>
      </c>
      <c r="M830">
        <v>11001000</v>
      </c>
    </row>
    <row r="831" spans="1:13">
      <c r="A831" t="s">
        <v>130</v>
      </c>
      <c r="B831" t="s">
        <v>247</v>
      </c>
      <c r="C831" t="s">
        <v>122</v>
      </c>
      <c r="D831" t="s">
        <v>289</v>
      </c>
      <c r="E831" t="s">
        <v>237</v>
      </c>
      <c r="F831" t="s">
        <v>238</v>
      </c>
      <c r="G831" t="s">
        <v>7</v>
      </c>
      <c r="H831" t="s">
        <v>217</v>
      </c>
      <c r="I831" t="s">
        <v>217</v>
      </c>
      <c r="J831" t="s">
        <v>7</v>
      </c>
      <c r="K831" t="str">
        <f t="shared" si="12"/>
        <v>01340385</v>
      </c>
      <c r="L831">
        <v>66170000</v>
      </c>
      <c r="M831">
        <v>41001000</v>
      </c>
    </row>
    <row r="832" spans="1:13">
      <c r="A832" t="s">
        <v>122</v>
      </c>
      <c r="B832" t="s">
        <v>289</v>
      </c>
      <c r="C832" t="s">
        <v>130</v>
      </c>
      <c r="D832" t="s">
        <v>247</v>
      </c>
      <c r="E832" t="s">
        <v>237</v>
      </c>
      <c r="F832" t="s">
        <v>238</v>
      </c>
      <c r="G832" t="s">
        <v>7</v>
      </c>
      <c r="H832" t="s">
        <v>217</v>
      </c>
      <c r="I832" t="s">
        <v>217</v>
      </c>
      <c r="J832" t="s">
        <v>7</v>
      </c>
      <c r="K832" t="str">
        <f t="shared" si="12"/>
        <v>03850134</v>
      </c>
      <c r="L832">
        <v>41001000</v>
      </c>
      <c r="M832">
        <v>66170000</v>
      </c>
    </row>
    <row r="833" spans="1:13">
      <c r="A833" t="s">
        <v>132</v>
      </c>
      <c r="B833" t="s">
        <v>255</v>
      </c>
      <c r="C833" t="s">
        <v>122</v>
      </c>
      <c r="D833" t="s">
        <v>289</v>
      </c>
      <c r="E833" t="s">
        <v>237</v>
      </c>
      <c r="F833" t="s">
        <v>238</v>
      </c>
      <c r="G833" t="s">
        <v>7</v>
      </c>
      <c r="H833" t="s">
        <v>217</v>
      </c>
      <c r="I833" t="s">
        <v>217</v>
      </c>
      <c r="J833" t="s">
        <v>7</v>
      </c>
      <c r="K833" t="str">
        <f t="shared" si="12"/>
        <v>04410385</v>
      </c>
      <c r="L833">
        <v>15238000</v>
      </c>
      <c r="M833">
        <v>41001000</v>
      </c>
    </row>
    <row r="834" spans="1:13">
      <c r="A834" t="s">
        <v>129</v>
      </c>
      <c r="B834" t="s">
        <v>280</v>
      </c>
      <c r="C834" t="s">
        <v>123</v>
      </c>
      <c r="D834" t="s">
        <v>263</v>
      </c>
      <c r="E834" t="s">
        <v>237</v>
      </c>
      <c r="F834" t="s">
        <v>238</v>
      </c>
      <c r="G834" t="s">
        <v>7</v>
      </c>
      <c r="H834" t="s">
        <v>217</v>
      </c>
      <c r="I834" t="s">
        <v>217</v>
      </c>
      <c r="J834" t="s">
        <v>7</v>
      </c>
      <c r="K834" t="str">
        <f t="shared" si="12"/>
        <v>03810292</v>
      </c>
      <c r="L834">
        <v>23001000</v>
      </c>
      <c r="M834">
        <v>5360000</v>
      </c>
    </row>
    <row r="835" spans="1:13">
      <c r="A835" t="s">
        <v>132</v>
      </c>
      <c r="B835" t="s">
        <v>255</v>
      </c>
      <c r="C835" t="s">
        <v>136</v>
      </c>
      <c r="D835" t="s">
        <v>276</v>
      </c>
      <c r="E835" t="s">
        <v>237</v>
      </c>
      <c r="F835" t="s">
        <v>238</v>
      </c>
      <c r="G835" t="s">
        <v>7</v>
      </c>
      <c r="H835" t="s">
        <v>217</v>
      </c>
      <c r="I835" t="s">
        <v>217</v>
      </c>
      <c r="J835" t="s">
        <v>7</v>
      </c>
      <c r="K835" t="str">
        <f t="shared" ref="K835:K898" si="13">A835&amp;C835</f>
        <v>04410074</v>
      </c>
      <c r="L835">
        <v>15238000</v>
      </c>
      <c r="M835">
        <v>5001000</v>
      </c>
    </row>
    <row r="836" spans="1:13">
      <c r="A836" t="s">
        <v>128</v>
      </c>
      <c r="B836" t="s">
        <v>301</v>
      </c>
      <c r="C836" t="s">
        <v>137</v>
      </c>
      <c r="D836" t="s">
        <v>302</v>
      </c>
      <c r="E836" t="s">
        <v>237</v>
      </c>
      <c r="F836" t="s">
        <v>238</v>
      </c>
      <c r="G836" t="s">
        <v>7</v>
      </c>
      <c r="H836" t="s">
        <v>217</v>
      </c>
      <c r="I836" t="s">
        <v>217</v>
      </c>
      <c r="J836" t="s">
        <v>7</v>
      </c>
      <c r="K836" t="str">
        <f t="shared" si="13"/>
        <v>04610460</v>
      </c>
      <c r="L836">
        <v>11001000</v>
      </c>
      <c r="M836">
        <v>25754000</v>
      </c>
    </row>
    <row r="837" spans="1:13">
      <c r="A837" t="s">
        <v>137</v>
      </c>
      <c r="B837" t="s">
        <v>302</v>
      </c>
      <c r="C837" t="s">
        <v>116</v>
      </c>
      <c r="D837" t="s">
        <v>235</v>
      </c>
      <c r="E837" t="s">
        <v>237</v>
      </c>
      <c r="F837" t="s">
        <v>238</v>
      </c>
      <c r="G837" t="s">
        <v>7</v>
      </c>
      <c r="H837" t="s">
        <v>217</v>
      </c>
      <c r="I837" t="s">
        <v>217</v>
      </c>
      <c r="J837" t="s">
        <v>7</v>
      </c>
      <c r="K837" t="str">
        <f t="shared" si="13"/>
        <v>04600021</v>
      </c>
      <c r="L837">
        <v>11001000</v>
      </c>
      <c r="M837">
        <v>25754000</v>
      </c>
    </row>
    <row r="838" spans="1:13">
      <c r="A838" t="s">
        <v>137</v>
      </c>
      <c r="B838" t="s">
        <v>302</v>
      </c>
      <c r="C838" t="s">
        <v>147</v>
      </c>
      <c r="D838" t="s">
        <v>236</v>
      </c>
      <c r="E838" t="s">
        <v>237</v>
      </c>
      <c r="F838" t="s">
        <v>238</v>
      </c>
      <c r="G838" t="s">
        <v>7</v>
      </c>
      <c r="H838" t="s">
        <v>217</v>
      </c>
      <c r="I838" t="s">
        <v>217</v>
      </c>
      <c r="J838" t="s">
        <v>7</v>
      </c>
      <c r="K838" t="str">
        <f t="shared" si="13"/>
        <v>04600022</v>
      </c>
      <c r="L838">
        <v>11001000</v>
      </c>
      <c r="M838">
        <v>25430000</v>
      </c>
    </row>
    <row r="839" spans="1:13">
      <c r="A839" t="s">
        <v>137</v>
      </c>
      <c r="B839" t="s">
        <v>302</v>
      </c>
      <c r="C839" t="s">
        <v>118</v>
      </c>
      <c r="D839" t="s">
        <v>112</v>
      </c>
      <c r="E839" t="s">
        <v>237</v>
      </c>
      <c r="F839" t="s">
        <v>238</v>
      </c>
      <c r="G839" t="s">
        <v>7</v>
      </c>
      <c r="H839" t="s">
        <v>217</v>
      </c>
      <c r="I839" t="s">
        <v>217</v>
      </c>
      <c r="J839" t="s">
        <v>7</v>
      </c>
      <c r="K839" t="str">
        <f t="shared" si="13"/>
        <v>04600079</v>
      </c>
      <c r="L839">
        <v>11001000</v>
      </c>
      <c r="M839">
        <v>5088000</v>
      </c>
    </row>
    <row r="840" spans="1:13">
      <c r="A840" t="s">
        <v>137</v>
      </c>
      <c r="B840" t="s">
        <v>302</v>
      </c>
      <c r="C840" t="s">
        <v>133</v>
      </c>
      <c r="D840" t="s">
        <v>241</v>
      </c>
      <c r="E840" t="s">
        <v>237</v>
      </c>
      <c r="F840" t="s">
        <v>238</v>
      </c>
      <c r="G840" t="s">
        <v>7</v>
      </c>
      <c r="H840" t="s">
        <v>217</v>
      </c>
      <c r="I840" t="s">
        <v>217</v>
      </c>
      <c r="J840" t="s">
        <v>7</v>
      </c>
      <c r="K840" t="str">
        <f t="shared" si="13"/>
        <v>04600090</v>
      </c>
      <c r="L840">
        <v>11001000</v>
      </c>
      <c r="M840">
        <v>5615000</v>
      </c>
    </row>
    <row r="841" spans="1:13">
      <c r="A841" t="s">
        <v>137</v>
      </c>
      <c r="B841" t="s">
        <v>302</v>
      </c>
      <c r="C841" t="s">
        <v>124</v>
      </c>
      <c r="D841" t="s">
        <v>242</v>
      </c>
      <c r="E841" t="s">
        <v>237</v>
      </c>
      <c r="F841" t="s">
        <v>238</v>
      </c>
      <c r="G841" t="s">
        <v>7</v>
      </c>
      <c r="H841" t="s">
        <v>217</v>
      </c>
      <c r="I841" t="s">
        <v>217</v>
      </c>
      <c r="J841" t="s">
        <v>7</v>
      </c>
      <c r="K841" t="str">
        <f t="shared" si="13"/>
        <v>04600092</v>
      </c>
      <c r="L841">
        <v>11001000</v>
      </c>
      <c r="M841">
        <v>5001000</v>
      </c>
    </row>
    <row r="842" spans="1:13">
      <c r="A842" t="s">
        <v>137</v>
      </c>
      <c r="B842" t="s">
        <v>302</v>
      </c>
      <c r="C842" t="s">
        <v>140</v>
      </c>
      <c r="D842" t="s">
        <v>243</v>
      </c>
      <c r="E842" t="s">
        <v>237</v>
      </c>
      <c r="F842" t="s">
        <v>238</v>
      </c>
      <c r="G842" t="s">
        <v>7</v>
      </c>
      <c r="H842" t="s">
        <v>217</v>
      </c>
      <c r="I842" t="s">
        <v>217</v>
      </c>
      <c r="J842" t="s">
        <v>7</v>
      </c>
      <c r="K842" t="str">
        <f t="shared" si="13"/>
        <v>04600113</v>
      </c>
      <c r="L842">
        <v>11001000</v>
      </c>
      <c r="M842">
        <v>13001000</v>
      </c>
    </row>
    <row r="843" spans="1:13">
      <c r="A843" t="s">
        <v>137</v>
      </c>
      <c r="B843" t="s">
        <v>302</v>
      </c>
      <c r="C843" t="s">
        <v>156</v>
      </c>
      <c r="D843" t="s">
        <v>244</v>
      </c>
      <c r="E843" t="s">
        <v>237</v>
      </c>
      <c r="F843" t="s">
        <v>238</v>
      </c>
      <c r="G843" t="s">
        <v>7</v>
      </c>
      <c r="H843" t="s">
        <v>217</v>
      </c>
      <c r="I843" t="s">
        <v>217</v>
      </c>
      <c r="J843" t="s">
        <v>7</v>
      </c>
      <c r="K843" t="str">
        <f t="shared" si="13"/>
        <v>04600118</v>
      </c>
      <c r="L843">
        <v>11001000</v>
      </c>
      <c r="M843">
        <v>47001000</v>
      </c>
    </row>
    <row r="844" spans="1:13">
      <c r="A844" t="s">
        <v>137</v>
      </c>
      <c r="B844" t="s">
        <v>302</v>
      </c>
      <c r="C844" t="s">
        <v>162</v>
      </c>
      <c r="D844" t="s">
        <v>245</v>
      </c>
      <c r="E844" t="s">
        <v>237</v>
      </c>
      <c r="F844" t="s">
        <v>238</v>
      </c>
      <c r="G844" t="s">
        <v>7</v>
      </c>
      <c r="H844" t="s">
        <v>217</v>
      </c>
      <c r="I844" t="s">
        <v>217</v>
      </c>
      <c r="J844" t="s">
        <v>7</v>
      </c>
      <c r="K844" t="str">
        <f t="shared" si="13"/>
        <v>04600126</v>
      </c>
      <c r="L844">
        <v>11001000</v>
      </c>
      <c r="M844">
        <v>19001000</v>
      </c>
    </row>
    <row r="845" spans="1:13">
      <c r="A845" t="s">
        <v>137</v>
      </c>
      <c r="B845" t="s">
        <v>302</v>
      </c>
      <c r="C845" t="s">
        <v>166</v>
      </c>
      <c r="D845" t="s">
        <v>246</v>
      </c>
      <c r="E845" t="s">
        <v>237</v>
      </c>
      <c r="F845" t="s">
        <v>238</v>
      </c>
      <c r="G845" t="s">
        <v>7</v>
      </c>
      <c r="H845" t="s">
        <v>217</v>
      </c>
      <c r="I845" t="s">
        <v>217</v>
      </c>
      <c r="J845" t="s">
        <v>7</v>
      </c>
      <c r="K845" t="str">
        <f t="shared" si="13"/>
        <v>04600131</v>
      </c>
      <c r="L845">
        <v>11001000</v>
      </c>
      <c r="M845">
        <v>76109000</v>
      </c>
    </row>
    <row r="846" spans="1:13">
      <c r="A846" t="s">
        <v>137</v>
      </c>
      <c r="B846" t="s">
        <v>302</v>
      </c>
      <c r="C846" t="s">
        <v>130</v>
      </c>
      <c r="D846" t="s">
        <v>247</v>
      </c>
      <c r="E846" t="s">
        <v>237</v>
      </c>
      <c r="F846" t="s">
        <v>238</v>
      </c>
      <c r="G846" t="s">
        <v>7</v>
      </c>
      <c r="H846" t="s">
        <v>217</v>
      </c>
      <c r="I846" t="s">
        <v>217</v>
      </c>
      <c r="J846" t="s">
        <v>7</v>
      </c>
      <c r="K846" t="str">
        <f t="shared" si="13"/>
        <v>04600134</v>
      </c>
      <c r="L846">
        <v>11001000</v>
      </c>
      <c r="M846">
        <v>66170000</v>
      </c>
    </row>
    <row r="847" spans="1:13">
      <c r="A847" t="s">
        <v>137</v>
      </c>
      <c r="B847" t="s">
        <v>302</v>
      </c>
      <c r="C847" t="s">
        <v>155</v>
      </c>
      <c r="D847" t="s">
        <v>248</v>
      </c>
      <c r="E847" t="s">
        <v>237</v>
      </c>
      <c r="F847" t="s">
        <v>238</v>
      </c>
      <c r="G847" t="s">
        <v>7</v>
      </c>
      <c r="H847" t="s">
        <v>217</v>
      </c>
      <c r="I847" t="s">
        <v>217</v>
      </c>
      <c r="J847" t="s">
        <v>7</v>
      </c>
      <c r="K847" t="str">
        <f t="shared" si="13"/>
        <v>04600142</v>
      </c>
      <c r="L847">
        <v>11001000</v>
      </c>
      <c r="M847">
        <v>63001000</v>
      </c>
    </row>
    <row r="848" spans="1:13">
      <c r="A848" t="s">
        <v>137</v>
      </c>
      <c r="B848" t="s">
        <v>302</v>
      </c>
      <c r="C848" t="s">
        <v>153</v>
      </c>
      <c r="D848" t="s">
        <v>249</v>
      </c>
      <c r="E848" t="s">
        <v>237</v>
      </c>
      <c r="F848" t="s">
        <v>238</v>
      </c>
      <c r="G848" t="s">
        <v>7</v>
      </c>
      <c r="H848" t="s">
        <v>217</v>
      </c>
      <c r="I848" t="s">
        <v>217</v>
      </c>
      <c r="J848" t="s">
        <v>7</v>
      </c>
      <c r="K848" t="str">
        <f t="shared" si="13"/>
        <v>04600145</v>
      </c>
      <c r="L848">
        <v>11001000</v>
      </c>
      <c r="M848">
        <v>17001000</v>
      </c>
    </row>
    <row r="849" spans="1:13">
      <c r="A849" t="s">
        <v>137</v>
      </c>
      <c r="B849" t="s">
        <v>302</v>
      </c>
      <c r="C849" t="s">
        <v>141</v>
      </c>
      <c r="D849" t="s">
        <v>250</v>
      </c>
      <c r="E849" t="s">
        <v>237</v>
      </c>
      <c r="F849" t="s">
        <v>238</v>
      </c>
      <c r="G849" t="s">
        <v>7</v>
      </c>
      <c r="H849" t="s">
        <v>217</v>
      </c>
      <c r="I849" t="s">
        <v>217</v>
      </c>
      <c r="J849" t="s">
        <v>7</v>
      </c>
      <c r="K849" t="str">
        <f t="shared" si="13"/>
        <v>04600198</v>
      </c>
      <c r="L849">
        <v>11001000</v>
      </c>
      <c r="M849">
        <v>66001000</v>
      </c>
    </row>
    <row r="850" spans="1:13">
      <c r="A850" t="s">
        <v>137</v>
      </c>
      <c r="B850" t="s">
        <v>302</v>
      </c>
      <c r="C850" t="s">
        <v>117</v>
      </c>
      <c r="D850" t="s">
        <v>251</v>
      </c>
      <c r="E850" t="s">
        <v>237</v>
      </c>
      <c r="F850" t="s">
        <v>238</v>
      </c>
      <c r="G850" t="s">
        <v>7</v>
      </c>
      <c r="H850" t="s">
        <v>217</v>
      </c>
      <c r="I850" t="s">
        <v>217</v>
      </c>
      <c r="J850" t="s">
        <v>7</v>
      </c>
      <c r="K850" t="str">
        <f t="shared" si="13"/>
        <v>04600410</v>
      </c>
      <c r="L850">
        <v>11001000</v>
      </c>
      <c r="M850">
        <v>76892000</v>
      </c>
    </row>
    <row r="851" spans="1:13">
      <c r="A851" t="s">
        <v>137</v>
      </c>
      <c r="B851" t="s">
        <v>302</v>
      </c>
      <c r="C851" t="s">
        <v>180</v>
      </c>
      <c r="D851" t="s">
        <v>240</v>
      </c>
      <c r="E851" t="s">
        <v>237</v>
      </c>
      <c r="F851" t="s">
        <v>238</v>
      </c>
      <c r="G851" t="s">
        <v>7</v>
      </c>
      <c r="H851" t="s">
        <v>217</v>
      </c>
      <c r="I851" t="s">
        <v>217</v>
      </c>
      <c r="J851" t="s">
        <v>7</v>
      </c>
      <c r="K851" t="str">
        <f t="shared" si="13"/>
        <v>04600025</v>
      </c>
      <c r="L851">
        <v>11001000</v>
      </c>
      <c r="M851">
        <v>25875000</v>
      </c>
    </row>
    <row r="852" spans="1:13">
      <c r="A852" t="s">
        <v>137</v>
      </c>
      <c r="B852" t="s">
        <v>302</v>
      </c>
      <c r="C852" t="s">
        <v>152</v>
      </c>
      <c r="D852" t="s">
        <v>252</v>
      </c>
      <c r="E852" t="s">
        <v>237</v>
      </c>
      <c r="F852" t="s">
        <v>238</v>
      </c>
      <c r="G852" t="s">
        <v>7</v>
      </c>
      <c r="H852" t="s">
        <v>217</v>
      </c>
      <c r="I852" t="s">
        <v>217</v>
      </c>
      <c r="J852" t="s">
        <v>7</v>
      </c>
      <c r="K852" t="str">
        <f t="shared" si="13"/>
        <v>04600411</v>
      </c>
      <c r="L852">
        <v>11001000</v>
      </c>
      <c r="M852">
        <v>76111000</v>
      </c>
    </row>
    <row r="853" spans="1:13">
      <c r="A853" t="s">
        <v>137</v>
      </c>
      <c r="B853" t="s">
        <v>302</v>
      </c>
      <c r="C853" t="s">
        <v>145</v>
      </c>
      <c r="D853" t="s">
        <v>254</v>
      </c>
      <c r="E853" t="s">
        <v>237</v>
      </c>
      <c r="F853" t="s">
        <v>238</v>
      </c>
      <c r="G853" t="s">
        <v>7</v>
      </c>
      <c r="H853" t="s">
        <v>217</v>
      </c>
      <c r="I853" t="s">
        <v>217</v>
      </c>
      <c r="J853" t="s">
        <v>7</v>
      </c>
      <c r="K853" t="str">
        <f t="shared" si="13"/>
        <v>04600358</v>
      </c>
      <c r="L853">
        <v>11001000</v>
      </c>
      <c r="M853">
        <v>76364000</v>
      </c>
    </row>
    <row r="854" spans="1:13">
      <c r="A854" t="s">
        <v>137</v>
      </c>
      <c r="B854" t="s">
        <v>302</v>
      </c>
      <c r="C854" t="s">
        <v>184</v>
      </c>
      <c r="D854" t="s">
        <v>239</v>
      </c>
      <c r="E854" t="s">
        <v>237</v>
      </c>
      <c r="F854" t="s">
        <v>238</v>
      </c>
      <c r="G854" t="s">
        <v>7</v>
      </c>
      <c r="H854" t="s">
        <v>217</v>
      </c>
      <c r="I854" t="s">
        <v>217</v>
      </c>
      <c r="J854" t="s">
        <v>7</v>
      </c>
      <c r="K854" t="str">
        <f t="shared" si="13"/>
        <v>04600024</v>
      </c>
      <c r="L854">
        <v>11001000</v>
      </c>
      <c r="M854">
        <v>25386000</v>
      </c>
    </row>
    <row r="855" spans="1:13">
      <c r="A855" t="s">
        <v>137</v>
      </c>
      <c r="B855" t="s">
        <v>302</v>
      </c>
      <c r="C855" t="s">
        <v>119</v>
      </c>
      <c r="D855" t="s">
        <v>274</v>
      </c>
      <c r="E855" t="s">
        <v>237</v>
      </c>
      <c r="F855" t="s">
        <v>238</v>
      </c>
      <c r="G855" t="s">
        <v>7</v>
      </c>
      <c r="H855" t="s">
        <v>217</v>
      </c>
      <c r="I855" t="s">
        <v>217</v>
      </c>
      <c r="J855" t="s">
        <v>7</v>
      </c>
      <c r="K855" t="str">
        <f t="shared" si="13"/>
        <v>04600111</v>
      </c>
      <c r="L855">
        <v>11001000</v>
      </c>
      <c r="M855">
        <v>8433000</v>
      </c>
    </row>
    <row r="856" spans="1:13">
      <c r="A856" t="s">
        <v>137</v>
      </c>
      <c r="B856" t="s">
        <v>302</v>
      </c>
      <c r="C856" t="s">
        <v>123</v>
      </c>
      <c r="D856" t="s">
        <v>263</v>
      </c>
      <c r="E856" t="s">
        <v>237</v>
      </c>
      <c r="F856" t="s">
        <v>238</v>
      </c>
      <c r="G856" t="s">
        <v>7</v>
      </c>
      <c r="H856" t="s">
        <v>217</v>
      </c>
      <c r="I856" t="s">
        <v>217</v>
      </c>
      <c r="J856" t="s">
        <v>7</v>
      </c>
      <c r="K856" t="str">
        <f t="shared" si="13"/>
        <v>04600292</v>
      </c>
      <c r="L856">
        <v>11001000</v>
      </c>
      <c r="M856">
        <v>5360000</v>
      </c>
    </row>
    <row r="857" spans="1:13">
      <c r="A857" t="s">
        <v>137</v>
      </c>
      <c r="B857" t="s">
        <v>302</v>
      </c>
      <c r="C857" t="s">
        <v>163</v>
      </c>
      <c r="D857" t="s">
        <v>275</v>
      </c>
      <c r="E857" t="s">
        <v>237</v>
      </c>
      <c r="F857" t="s">
        <v>238</v>
      </c>
      <c r="G857" t="s">
        <v>7</v>
      </c>
      <c r="H857" t="s">
        <v>217</v>
      </c>
      <c r="I857" t="s">
        <v>217</v>
      </c>
      <c r="J857" t="s">
        <v>7</v>
      </c>
      <c r="K857" t="str">
        <f t="shared" si="13"/>
        <v>04600032</v>
      </c>
      <c r="L857">
        <v>11001000</v>
      </c>
      <c r="M857">
        <v>25899000</v>
      </c>
    </row>
    <row r="858" spans="1:13">
      <c r="A858" t="s">
        <v>137</v>
      </c>
      <c r="B858" t="s">
        <v>302</v>
      </c>
      <c r="C858" t="s">
        <v>176</v>
      </c>
      <c r="D858" t="s">
        <v>261</v>
      </c>
      <c r="E858" t="s">
        <v>237</v>
      </c>
      <c r="F858" t="s">
        <v>238</v>
      </c>
      <c r="G858" t="s">
        <v>7</v>
      </c>
      <c r="H858" t="s">
        <v>217</v>
      </c>
      <c r="I858" t="s">
        <v>217</v>
      </c>
      <c r="J858" t="s">
        <v>7</v>
      </c>
      <c r="K858" t="str">
        <f t="shared" si="13"/>
        <v>04600146</v>
      </c>
      <c r="L858">
        <v>11001000</v>
      </c>
      <c r="M858">
        <v>17001000</v>
      </c>
    </row>
    <row r="859" spans="1:13">
      <c r="A859" t="s">
        <v>137</v>
      </c>
      <c r="B859" t="s">
        <v>302</v>
      </c>
      <c r="C859" t="s">
        <v>181</v>
      </c>
      <c r="D859" t="s">
        <v>260</v>
      </c>
      <c r="E859" t="s">
        <v>237</v>
      </c>
      <c r="F859" t="s">
        <v>238</v>
      </c>
      <c r="G859" t="s">
        <v>7</v>
      </c>
      <c r="H859" t="s">
        <v>217</v>
      </c>
      <c r="I859" t="s">
        <v>217</v>
      </c>
      <c r="J859" t="s">
        <v>7</v>
      </c>
      <c r="K859" t="str">
        <f t="shared" si="13"/>
        <v>04600119</v>
      </c>
      <c r="L859">
        <v>11001000</v>
      </c>
      <c r="M859">
        <v>47001000</v>
      </c>
    </row>
    <row r="860" spans="1:13">
      <c r="A860" t="s">
        <v>137</v>
      </c>
      <c r="B860" t="s">
        <v>302</v>
      </c>
      <c r="C860" t="s">
        <v>172</v>
      </c>
      <c r="D860" t="s">
        <v>258</v>
      </c>
      <c r="E860" t="s">
        <v>237</v>
      </c>
      <c r="F860" t="s">
        <v>238</v>
      </c>
      <c r="G860" t="s">
        <v>7</v>
      </c>
      <c r="H860" t="s">
        <v>217</v>
      </c>
      <c r="I860" t="s">
        <v>217</v>
      </c>
      <c r="J860" t="s">
        <v>7</v>
      </c>
      <c r="K860" t="str">
        <f t="shared" si="13"/>
        <v>04600230</v>
      </c>
      <c r="L860">
        <v>11001000</v>
      </c>
      <c r="M860">
        <v>44430000</v>
      </c>
    </row>
    <row r="861" spans="1:13">
      <c r="A861" t="s">
        <v>137</v>
      </c>
      <c r="B861" t="s">
        <v>302</v>
      </c>
      <c r="C861" t="s">
        <v>186</v>
      </c>
      <c r="D861" t="s">
        <v>262</v>
      </c>
      <c r="E861" t="s">
        <v>237</v>
      </c>
      <c r="F861" t="s">
        <v>238</v>
      </c>
      <c r="G861" t="s">
        <v>7</v>
      </c>
      <c r="H861" t="s">
        <v>217</v>
      </c>
      <c r="I861" t="s">
        <v>217</v>
      </c>
      <c r="J861" t="s">
        <v>7</v>
      </c>
      <c r="K861" t="str">
        <f t="shared" si="13"/>
        <v>04600239</v>
      </c>
      <c r="L861">
        <v>11001000</v>
      </c>
      <c r="M861">
        <v>44001000</v>
      </c>
    </row>
    <row r="862" spans="1:13">
      <c r="A862" t="s">
        <v>137</v>
      </c>
      <c r="B862" t="s">
        <v>302</v>
      </c>
      <c r="C862" t="s">
        <v>136</v>
      </c>
      <c r="D862" t="s">
        <v>276</v>
      </c>
      <c r="E862" t="s">
        <v>237</v>
      </c>
      <c r="F862" t="s">
        <v>238</v>
      </c>
      <c r="G862" t="s">
        <v>7</v>
      </c>
      <c r="H862" t="s">
        <v>217</v>
      </c>
      <c r="I862" t="s">
        <v>217</v>
      </c>
      <c r="J862" t="s">
        <v>7</v>
      </c>
      <c r="K862" t="str">
        <f t="shared" si="13"/>
        <v>04600074</v>
      </c>
      <c r="L862">
        <v>11001000</v>
      </c>
      <c r="M862">
        <v>5001000</v>
      </c>
    </row>
    <row r="863" spans="1:13">
      <c r="A863" t="s">
        <v>137</v>
      </c>
      <c r="B863" t="s">
        <v>302</v>
      </c>
      <c r="C863" t="s">
        <v>125</v>
      </c>
      <c r="D863" t="s">
        <v>277</v>
      </c>
      <c r="E863" t="s">
        <v>237</v>
      </c>
      <c r="F863" t="s">
        <v>238</v>
      </c>
      <c r="G863" t="s">
        <v>7</v>
      </c>
      <c r="H863" t="s">
        <v>217</v>
      </c>
      <c r="I863" t="s">
        <v>217</v>
      </c>
      <c r="J863" t="s">
        <v>7</v>
      </c>
      <c r="K863" t="str">
        <f t="shared" si="13"/>
        <v>04600445</v>
      </c>
      <c r="L863">
        <v>11001000</v>
      </c>
      <c r="M863">
        <v>19142000</v>
      </c>
    </row>
    <row r="864" spans="1:13">
      <c r="A864" t="s">
        <v>137</v>
      </c>
      <c r="B864" t="s">
        <v>302</v>
      </c>
      <c r="C864" t="s">
        <v>131</v>
      </c>
      <c r="D864" t="s">
        <v>278</v>
      </c>
      <c r="E864" t="s">
        <v>237</v>
      </c>
      <c r="F864" t="s">
        <v>238</v>
      </c>
      <c r="G864" t="s">
        <v>7</v>
      </c>
      <c r="H864" t="s">
        <v>217</v>
      </c>
      <c r="I864" t="s">
        <v>217</v>
      </c>
      <c r="J864" t="s">
        <v>7</v>
      </c>
      <c r="K864" t="str">
        <f t="shared" si="13"/>
        <v>04600035</v>
      </c>
      <c r="L864">
        <v>11001000</v>
      </c>
      <c r="M864">
        <v>25799000</v>
      </c>
    </row>
    <row r="865" spans="1:13">
      <c r="A865" t="s">
        <v>137</v>
      </c>
      <c r="B865" t="s">
        <v>302</v>
      </c>
      <c r="C865" t="s">
        <v>159</v>
      </c>
      <c r="D865" t="s">
        <v>279</v>
      </c>
      <c r="E865" t="s">
        <v>237</v>
      </c>
      <c r="F865" t="s">
        <v>238</v>
      </c>
      <c r="G865" t="s">
        <v>7</v>
      </c>
      <c r="H865" t="s">
        <v>217</v>
      </c>
      <c r="I865" t="s">
        <v>217</v>
      </c>
      <c r="J865" t="s">
        <v>7</v>
      </c>
      <c r="K865" t="str">
        <f t="shared" si="13"/>
        <v>04600384</v>
      </c>
      <c r="L865">
        <v>11001000</v>
      </c>
      <c r="M865">
        <v>5154000</v>
      </c>
    </row>
    <row r="866" spans="1:13">
      <c r="A866" t="s">
        <v>137</v>
      </c>
      <c r="B866" t="s">
        <v>302</v>
      </c>
      <c r="C866" t="s">
        <v>129</v>
      </c>
      <c r="D866" t="s">
        <v>280</v>
      </c>
      <c r="E866" t="s">
        <v>237</v>
      </c>
      <c r="F866" t="s">
        <v>238</v>
      </c>
      <c r="G866" t="s">
        <v>7</v>
      </c>
      <c r="H866" t="s">
        <v>217</v>
      </c>
      <c r="I866" t="s">
        <v>217</v>
      </c>
      <c r="J866" t="s">
        <v>7</v>
      </c>
      <c r="K866" t="str">
        <f t="shared" si="13"/>
        <v>04600381</v>
      </c>
      <c r="L866">
        <v>11001000</v>
      </c>
      <c r="M866">
        <v>23001000</v>
      </c>
    </row>
    <row r="867" spans="1:13">
      <c r="A867" t="s">
        <v>137</v>
      </c>
      <c r="B867" t="s">
        <v>302</v>
      </c>
      <c r="C867" t="s">
        <v>134</v>
      </c>
      <c r="D867" t="s">
        <v>281</v>
      </c>
      <c r="E867" t="s">
        <v>237</v>
      </c>
      <c r="F867" t="s">
        <v>238</v>
      </c>
      <c r="G867" t="s">
        <v>7</v>
      </c>
      <c r="H867" t="s">
        <v>217</v>
      </c>
      <c r="I867" t="s">
        <v>217</v>
      </c>
      <c r="J867" t="s">
        <v>7</v>
      </c>
      <c r="K867" t="str">
        <f t="shared" si="13"/>
        <v>04600424</v>
      </c>
      <c r="L867">
        <v>11001000</v>
      </c>
      <c r="M867">
        <v>68081000</v>
      </c>
    </row>
    <row r="868" spans="1:13">
      <c r="A868" t="s">
        <v>137</v>
      </c>
      <c r="B868" t="s">
        <v>302</v>
      </c>
      <c r="C868" t="s">
        <v>121</v>
      </c>
      <c r="D868" t="s">
        <v>282</v>
      </c>
      <c r="E868" t="s">
        <v>237</v>
      </c>
      <c r="F868" t="s">
        <v>238</v>
      </c>
      <c r="G868" t="s">
        <v>7</v>
      </c>
      <c r="H868" t="s">
        <v>217</v>
      </c>
      <c r="I868" t="s">
        <v>217</v>
      </c>
      <c r="J868" t="s">
        <v>7</v>
      </c>
      <c r="K868" t="str">
        <f t="shared" si="13"/>
        <v>04600438</v>
      </c>
      <c r="L868">
        <v>11001000</v>
      </c>
      <c r="M868">
        <v>54001000</v>
      </c>
    </row>
    <row r="869" spans="1:13">
      <c r="A869" t="s">
        <v>137</v>
      </c>
      <c r="B869" t="s">
        <v>302</v>
      </c>
      <c r="C869" t="s">
        <v>132</v>
      </c>
      <c r="D869" t="s">
        <v>255</v>
      </c>
      <c r="E869" t="s">
        <v>237</v>
      </c>
      <c r="F869" t="s">
        <v>238</v>
      </c>
      <c r="G869" t="s">
        <v>7</v>
      </c>
      <c r="H869" t="s">
        <v>217</v>
      </c>
      <c r="I869" t="s">
        <v>217</v>
      </c>
      <c r="J869" t="s">
        <v>7</v>
      </c>
      <c r="K869" t="str">
        <f t="shared" si="13"/>
        <v>04600441</v>
      </c>
      <c r="L869">
        <v>11001000</v>
      </c>
      <c r="M869">
        <v>15238000</v>
      </c>
    </row>
    <row r="870" spans="1:13">
      <c r="A870" t="s">
        <v>137</v>
      </c>
      <c r="B870" t="s">
        <v>302</v>
      </c>
      <c r="C870" t="s">
        <v>154</v>
      </c>
      <c r="D870" t="s">
        <v>283</v>
      </c>
      <c r="E870" t="s">
        <v>237</v>
      </c>
      <c r="F870" t="s">
        <v>238</v>
      </c>
      <c r="G870" t="s">
        <v>7</v>
      </c>
      <c r="H870" t="s">
        <v>217</v>
      </c>
      <c r="I870" t="s">
        <v>217</v>
      </c>
      <c r="J870" t="s">
        <v>7</v>
      </c>
      <c r="K870" t="str">
        <f t="shared" si="13"/>
        <v>04600442</v>
      </c>
      <c r="L870">
        <v>11001000</v>
      </c>
      <c r="M870">
        <v>85001000</v>
      </c>
    </row>
    <row r="871" spans="1:13">
      <c r="A871" t="s">
        <v>137</v>
      </c>
      <c r="B871" t="s">
        <v>302</v>
      </c>
      <c r="C871" t="s">
        <v>158</v>
      </c>
      <c r="D871" t="s">
        <v>284</v>
      </c>
      <c r="E871" t="s">
        <v>237</v>
      </c>
      <c r="F871" t="s">
        <v>238</v>
      </c>
      <c r="G871" t="s">
        <v>7</v>
      </c>
      <c r="H871" t="s">
        <v>217</v>
      </c>
      <c r="I871" t="s">
        <v>217</v>
      </c>
      <c r="J871" t="s">
        <v>7</v>
      </c>
      <c r="K871" t="str">
        <f t="shared" si="13"/>
        <v>04600444</v>
      </c>
      <c r="L871">
        <v>11001000</v>
      </c>
      <c r="M871">
        <v>15176000</v>
      </c>
    </row>
    <row r="872" spans="1:13">
      <c r="A872" t="s">
        <v>137</v>
      </c>
      <c r="B872" t="s">
        <v>302</v>
      </c>
      <c r="C872" t="s">
        <v>144</v>
      </c>
      <c r="D872" t="s">
        <v>285</v>
      </c>
      <c r="E872" t="s">
        <v>237</v>
      </c>
      <c r="F872" t="s">
        <v>238</v>
      </c>
      <c r="G872" t="s">
        <v>7</v>
      </c>
      <c r="H872" t="s">
        <v>217</v>
      </c>
      <c r="I872" t="s">
        <v>217</v>
      </c>
      <c r="J872" t="s">
        <v>7</v>
      </c>
      <c r="K872" t="str">
        <f t="shared" si="13"/>
        <v>04600443</v>
      </c>
      <c r="L872">
        <v>11001000</v>
      </c>
      <c r="M872">
        <v>15001000</v>
      </c>
    </row>
    <row r="873" spans="1:13">
      <c r="A873" t="s">
        <v>137</v>
      </c>
      <c r="B873" t="s">
        <v>302</v>
      </c>
      <c r="C873" t="s">
        <v>149</v>
      </c>
      <c r="D873" t="s">
        <v>286</v>
      </c>
      <c r="E873" t="s">
        <v>237</v>
      </c>
      <c r="F873" t="s">
        <v>238</v>
      </c>
      <c r="G873" t="s">
        <v>7</v>
      </c>
      <c r="H873" t="s">
        <v>217</v>
      </c>
      <c r="I873" t="s">
        <v>217</v>
      </c>
      <c r="J873" t="s">
        <v>7</v>
      </c>
      <c r="K873" t="str">
        <f t="shared" si="13"/>
        <v>04600447</v>
      </c>
      <c r="L873">
        <v>11001000</v>
      </c>
      <c r="M873">
        <v>20001000</v>
      </c>
    </row>
    <row r="874" spans="1:13">
      <c r="A874" t="s">
        <v>137</v>
      </c>
      <c r="B874" t="s">
        <v>302</v>
      </c>
      <c r="C874" t="s">
        <v>160</v>
      </c>
      <c r="D874" t="s">
        <v>287</v>
      </c>
      <c r="E874" t="s">
        <v>237</v>
      </c>
      <c r="F874" t="s">
        <v>238</v>
      </c>
      <c r="G874" t="s">
        <v>7</v>
      </c>
      <c r="H874" t="s">
        <v>217</v>
      </c>
      <c r="I874" t="s">
        <v>217</v>
      </c>
      <c r="J874" t="s">
        <v>7</v>
      </c>
      <c r="K874" t="str">
        <f t="shared" si="13"/>
        <v>04600423</v>
      </c>
      <c r="L874">
        <v>11001000</v>
      </c>
      <c r="M874">
        <v>68001000</v>
      </c>
    </row>
    <row r="875" spans="1:13">
      <c r="A875" t="s">
        <v>137</v>
      </c>
      <c r="B875" t="s">
        <v>302</v>
      </c>
      <c r="C875" t="s">
        <v>157</v>
      </c>
      <c r="D875" t="s">
        <v>288</v>
      </c>
      <c r="E875" t="s">
        <v>237</v>
      </c>
      <c r="F875" t="s">
        <v>238</v>
      </c>
      <c r="G875" t="s">
        <v>7</v>
      </c>
      <c r="H875" t="s">
        <v>217</v>
      </c>
      <c r="I875" t="s">
        <v>217</v>
      </c>
      <c r="J875" t="s">
        <v>7</v>
      </c>
      <c r="K875" t="str">
        <f t="shared" si="13"/>
        <v>04600446</v>
      </c>
      <c r="L875">
        <v>11001000</v>
      </c>
      <c r="M875">
        <v>68077000</v>
      </c>
    </row>
    <row r="876" spans="1:13">
      <c r="A876" t="s">
        <v>137</v>
      </c>
      <c r="B876" t="s">
        <v>302</v>
      </c>
      <c r="C876" t="s">
        <v>170</v>
      </c>
      <c r="D876" t="s">
        <v>270</v>
      </c>
      <c r="E876" t="s">
        <v>237</v>
      </c>
      <c r="F876" t="s">
        <v>238</v>
      </c>
      <c r="G876" t="s">
        <v>7</v>
      </c>
      <c r="H876" t="s">
        <v>217</v>
      </c>
      <c r="I876" t="s">
        <v>217</v>
      </c>
      <c r="J876" t="s">
        <v>7</v>
      </c>
      <c r="K876" t="str">
        <f t="shared" si="13"/>
        <v>04600392</v>
      </c>
      <c r="L876">
        <v>11001000</v>
      </c>
      <c r="M876">
        <v>73443000</v>
      </c>
    </row>
    <row r="877" spans="1:13">
      <c r="A877" t="s">
        <v>137</v>
      </c>
      <c r="B877" t="s">
        <v>302</v>
      </c>
      <c r="C877" t="s">
        <v>126</v>
      </c>
      <c r="D877" t="s">
        <v>267</v>
      </c>
      <c r="E877" t="s">
        <v>237</v>
      </c>
      <c r="F877" t="s">
        <v>238</v>
      </c>
      <c r="G877" t="s">
        <v>7</v>
      </c>
      <c r="H877" t="s">
        <v>217</v>
      </c>
      <c r="I877" t="s">
        <v>217</v>
      </c>
      <c r="J877" t="s">
        <v>7</v>
      </c>
      <c r="K877" t="str">
        <f t="shared" si="13"/>
        <v>04600389</v>
      </c>
      <c r="L877">
        <v>11001000</v>
      </c>
      <c r="M877">
        <v>73001000</v>
      </c>
    </row>
    <row r="878" spans="1:13">
      <c r="A878" t="s">
        <v>137</v>
      </c>
      <c r="B878" t="s">
        <v>302</v>
      </c>
      <c r="C878" t="s">
        <v>122</v>
      </c>
      <c r="D878" t="s">
        <v>289</v>
      </c>
      <c r="E878" t="s">
        <v>237</v>
      </c>
      <c r="F878" t="s">
        <v>238</v>
      </c>
      <c r="G878" t="s">
        <v>7</v>
      </c>
      <c r="H878" t="s">
        <v>217</v>
      </c>
      <c r="I878" t="s">
        <v>217</v>
      </c>
      <c r="J878" t="s">
        <v>7</v>
      </c>
      <c r="K878" t="str">
        <f t="shared" si="13"/>
        <v>04600385</v>
      </c>
      <c r="L878">
        <v>11001000</v>
      </c>
      <c r="M878">
        <v>41001000</v>
      </c>
    </row>
    <row r="879" spans="1:13">
      <c r="A879" t="s">
        <v>137</v>
      </c>
      <c r="B879" t="s">
        <v>302</v>
      </c>
      <c r="C879" t="s">
        <v>135</v>
      </c>
      <c r="D879" t="s">
        <v>290</v>
      </c>
      <c r="E879" t="s">
        <v>237</v>
      </c>
      <c r="F879" t="s">
        <v>238</v>
      </c>
      <c r="G879" t="s">
        <v>7</v>
      </c>
      <c r="H879" t="s">
        <v>217</v>
      </c>
      <c r="I879" t="s">
        <v>217</v>
      </c>
      <c r="J879" t="s">
        <v>7</v>
      </c>
      <c r="K879" t="str">
        <f t="shared" si="13"/>
        <v>04600393</v>
      </c>
      <c r="L879">
        <v>11001000</v>
      </c>
      <c r="M879">
        <v>50001000</v>
      </c>
    </row>
    <row r="880" spans="1:13">
      <c r="A880" t="s">
        <v>137</v>
      </c>
      <c r="B880" t="s">
        <v>302</v>
      </c>
      <c r="C880" t="s">
        <v>151</v>
      </c>
      <c r="D880" t="s">
        <v>271</v>
      </c>
      <c r="E880" t="s">
        <v>237</v>
      </c>
      <c r="F880" t="s">
        <v>238</v>
      </c>
      <c r="G880" t="s">
        <v>7</v>
      </c>
      <c r="H880" t="s">
        <v>217</v>
      </c>
      <c r="I880" t="s">
        <v>217</v>
      </c>
      <c r="J880" t="s">
        <v>7</v>
      </c>
      <c r="K880" t="str">
        <f t="shared" si="13"/>
        <v>04600395</v>
      </c>
      <c r="L880">
        <v>11001000</v>
      </c>
      <c r="M880">
        <v>52001000</v>
      </c>
    </row>
    <row r="881" spans="1:13">
      <c r="A881" t="s">
        <v>137</v>
      </c>
      <c r="B881" t="s">
        <v>302</v>
      </c>
      <c r="C881" t="s">
        <v>127</v>
      </c>
      <c r="D881" t="s">
        <v>268</v>
      </c>
      <c r="E881" t="s">
        <v>237</v>
      </c>
      <c r="F881" t="s">
        <v>238</v>
      </c>
      <c r="G881" t="s">
        <v>7</v>
      </c>
      <c r="H881" t="s">
        <v>217</v>
      </c>
      <c r="I881" t="s">
        <v>217</v>
      </c>
      <c r="J881" t="s">
        <v>7</v>
      </c>
      <c r="K881" t="str">
        <f t="shared" si="13"/>
        <v>04600390</v>
      </c>
      <c r="L881">
        <v>11001000</v>
      </c>
      <c r="M881">
        <v>25612000</v>
      </c>
    </row>
    <row r="882" spans="1:13">
      <c r="A882" t="s">
        <v>137</v>
      </c>
      <c r="B882" t="s">
        <v>302</v>
      </c>
      <c r="C882" t="s">
        <v>143</v>
      </c>
      <c r="D882" t="s">
        <v>266</v>
      </c>
      <c r="E882" t="s">
        <v>237</v>
      </c>
      <c r="F882" t="s">
        <v>238</v>
      </c>
      <c r="G882" t="s">
        <v>7</v>
      </c>
      <c r="H882" t="s">
        <v>217</v>
      </c>
      <c r="I882" t="s">
        <v>217</v>
      </c>
      <c r="J882" t="s">
        <v>7</v>
      </c>
      <c r="K882" t="str">
        <f t="shared" si="13"/>
        <v>04600388</v>
      </c>
      <c r="L882">
        <v>11001000</v>
      </c>
      <c r="M882">
        <v>18001000</v>
      </c>
    </row>
    <row r="883" spans="1:13">
      <c r="A883" t="s">
        <v>137</v>
      </c>
      <c r="B883" t="s">
        <v>302</v>
      </c>
      <c r="C883" t="s">
        <v>171</v>
      </c>
      <c r="D883" t="s">
        <v>269</v>
      </c>
      <c r="E883" t="s">
        <v>237</v>
      </c>
      <c r="F883" t="s">
        <v>238</v>
      </c>
      <c r="G883" t="s">
        <v>7</v>
      </c>
      <c r="H883" t="s">
        <v>217</v>
      </c>
      <c r="I883" t="s">
        <v>217</v>
      </c>
      <c r="J883" t="s">
        <v>7</v>
      </c>
      <c r="K883" t="str">
        <f t="shared" si="13"/>
        <v>04600391</v>
      </c>
      <c r="L883">
        <v>11001000</v>
      </c>
      <c r="M883">
        <v>17380000</v>
      </c>
    </row>
    <row r="884" spans="1:13">
      <c r="A884" t="s">
        <v>137</v>
      </c>
      <c r="B884" t="s">
        <v>302</v>
      </c>
      <c r="C884" t="s">
        <v>150</v>
      </c>
      <c r="D884" t="s">
        <v>256</v>
      </c>
      <c r="E884" t="s">
        <v>237</v>
      </c>
      <c r="F884" t="s">
        <v>238</v>
      </c>
      <c r="G884" t="s">
        <v>7</v>
      </c>
      <c r="H884" t="s">
        <v>217</v>
      </c>
      <c r="I884" t="s">
        <v>217</v>
      </c>
      <c r="J884" t="s">
        <v>7</v>
      </c>
      <c r="K884" t="str">
        <f t="shared" si="13"/>
        <v>04600394</v>
      </c>
      <c r="L884">
        <v>11001000</v>
      </c>
      <c r="M884">
        <v>50313000</v>
      </c>
    </row>
    <row r="885" spans="1:13">
      <c r="A885" t="s">
        <v>137</v>
      </c>
      <c r="B885" t="s">
        <v>302</v>
      </c>
      <c r="C885" t="s">
        <v>139</v>
      </c>
      <c r="D885" t="s">
        <v>273</v>
      </c>
      <c r="E885" t="s">
        <v>237</v>
      </c>
      <c r="F885" t="s">
        <v>238</v>
      </c>
      <c r="G885" t="s">
        <v>7</v>
      </c>
      <c r="H885" t="s">
        <v>217</v>
      </c>
      <c r="I885" t="s">
        <v>217</v>
      </c>
      <c r="J885" t="s">
        <v>7</v>
      </c>
      <c r="K885" t="str">
        <f t="shared" si="13"/>
        <v>04600397</v>
      </c>
      <c r="L885">
        <v>11001000</v>
      </c>
      <c r="M885">
        <v>52356000</v>
      </c>
    </row>
    <row r="886" spans="1:13">
      <c r="A886" t="s">
        <v>137</v>
      </c>
      <c r="B886" t="s">
        <v>302</v>
      </c>
      <c r="C886" t="s">
        <v>177</v>
      </c>
      <c r="D886" t="s">
        <v>264</v>
      </c>
      <c r="E886" t="s">
        <v>237</v>
      </c>
      <c r="F886" t="s">
        <v>238</v>
      </c>
      <c r="G886" t="s">
        <v>7</v>
      </c>
      <c r="H886" t="s">
        <v>217</v>
      </c>
      <c r="I886" t="s">
        <v>217</v>
      </c>
      <c r="J886" t="s">
        <v>7</v>
      </c>
      <c r="K886" t="str">
        <f t="shared" si="13"/>
        <v>04600386</v>
      </c>
      <c r="L886">
        <v>11001000</v>
      </c>
      <c r="M886">
        <v>73671000</v>
      </c>
    </row>
    <row r="887" spans="1:13">
      <c r="A887" t="s">
        <v>137</v>
      </c>
      <c r="B887" t="s">
        <v>302</v>
      </c>
      <c r="C887" t="s">
        <v>169</v>
      </c>
      <c r="D887" t="s">
        <v>291</v>
      </c>
      <c r="E887" t="s">
        <v>237</v>
      </c>
      <c r="F887" t="s">
        <v>238</v>
      </c>
      <c r="G887" t="s">
        <v>7</v>
      </c>
      <c r="H887" t="s">
        <v>217</v>
      </c>
      <c r="I887" t="s">
        <v>217</v>
      </c>
      <c r="J887" t="s">
        <v>7</v>
      </c>
      <c r="K887" t="str">
        <f t="shared" si="13"/>
        <v>04600449</v>
      </c>
      <c r="L887">
        <v>11001000</v>
      </c>
      <c r="M887">
        <v>20060000</v>
      </c>
    </row>
    <row r="888" spans="1:13">
      <c r="A888" t="s">
        <v>137</v>
      </c>
      <c r="B888" t="s">
        <v>302</v>
      </c>
      <c r="C888" t="s">
        <v>120</v>
      </c>
      <c r="D888" t="s">
        <v>292</v>
      </c>
      <c r="E888" t="s">
        <v>237</v>
      </c>
      <c r="F888" t="s">
        <v>238</v>
      </c>
      <c r="G888" t="s">
        <v>7</v>
      </c>
      <c r="H888" t="s">
        <v>217</v>
      </c>
      <c r="I888" t="s">
        <v>217</v>
      </c>
      <c r="J888" t="s">
        <v>7</v>
      </c>
      <c r="K888" t="str">
        <f t="shared" si="13"/>
        <v>04600422</v>
      </c>
      <c r="L888">
        <v>11001000</v>
      </c>
      <c r="M888">
        <v>68547000</v>
      </c>
    </row>
    <row r="889" spans="1:13">
      <c r="A889" t="s">
        <v>137</v>
      </c>
      <c r="B889" t="s">
        <v>302</v>
      </c>
      <c r="C889" t="s">
        <v>161</v>
      </c>
      <c r="D889" t="s">
        <v>293</v>
      </c>
      <c r="E889" t="s">
        <v>237</v>
      </c>
      <c r="F889" t="s">
        <v>238</v>
      </c>
      <c r="G889" t="s">
        <v>7</v>
      </c>
      <c r="H889" t="s">
        <v>217</v>
      </c>
      <c r="I889" t="s">
        <v>217</v>
      </c>
      <c r="J889" t="s">
        <v>7</v>
      </c>
      <c r="K889" t="str">
        <f t="shared" si="13"/>
        <v>04600382</v>
      </c>
      <c r="L889">
        <v>11001000</v>
      </c>
      <c r="M889">
        <v>70001000</v>
      </c>
    </row>
    <row r="890" spans="1:13">
      <c r="A890" t="s">
        <v>137</v>
      </c>
      <c r="B890" t="s">
        <v>302</v>
      </c>
      <c r="C890" t="s">
        <v>189</v>
      </c>
      <c r="D890" t="s">
        <v>296</v>
      </c>
      <c r="E890" t="s">
        <v>237</v>
      </c>
      <c r="F890" t="s">
        <v>238</v>
      </c>
      <c r="G890" t="s">
        <v>7</v>
      </c>
      <c r="H890" t="s">
        <v>217</v>
      </c>
      <c r="I890" t="s">
        <v>217</v>
      </c>
      <c r="J890" t="s">
        <v>7</v>
      </c>
      <c r="K890" t="str">
        <f t="shared" si="13"/>
        <v>04600439</v>
      </c>
      <c r="L890">
        <v>11001000</v>
      </c>
      <c r="M890">
        <v>54001000</v>
      </c>
    </row>
    <row r="891" spans="1:13">
      <c r="A891" t="s">
        <v>137</v>
      </c>
      <c r="B891" t="s">
        <v>302</v>
      </c>
      <c r="C891" t="s">
        <v>138</v>
      </c>
      <c r="D891" t="s">
        <v>265</v>
      </c>
      <c r="E891" t="s">
        <v>237</v>
      </c>
      <c r="F891" t="s">
        <v>238</v>
      </c>
      <c r="G891" t="s">
        <v>7</v>
      </c>
      <c r="H891" t="s">
        <v>217</v>
      </c>
      <c r="I891" t="s">
        <v>217</v>
      </c>
      <c r="J891" t="s">
        <v>7</v>
      </c>
      <c r="K891" t="str">
        <f t="shared" si="13"/>
        <v>04600387</v>
      </c>
      <c r="L891">
        <v>11001000</v>
      </c>
      <c r="M891">
        <v>41298000</v>
      </c>
    </row>
    <row r="892" spans="1:13">
      <c r="A892" t="s">
        <v>137</v>
      </c>
      <c r="B892" t="s">
        <v>302</v>
      </c>
      <c r="C892" t="s">
        <v>148</v>
      </c>
      <c r="D892" t="s">
        <v>294</v>
      </c>
      <c r="E892" t="s">
        <v>237</v>
      </c>
      <c r="F892" t="s">
        <v>238</v>
      </c>
      <c r="G892" t="s">
        <v>7</v>
      </c>
      <c r="H892" t="s">
        <v>217</v>
      </c>
      <c r="I892" t="s">
        <v>217</v>
      </c>
      <c r="J892" t="s">
        <v>7</v>
      </c>
      <c r="K892" t="str">
        <f t="shared" si="13"/>
        <v>04600437</v>
      </c>
      <c r="L892">
        <v>11001000</v>
      </c>
      <c r="M892">
        <v>20011000</v>
      </c>
    </row>
    <row r="893" spans="1:13">
      <c r="A893" t="s">
        <v>137</v>
      </c>
      <c r="B893" t="s">
        <v>302</v>
      </c>
      <c r="C893" t="s">
        <v>165</v>
      </c>
      <c r="D893" t="s">
        <v>295</v>
      </c>
      <c r="E893" t="s">
        <v>237</v>
      </c>
      <c r="F893" t="s">
        <v>238</v>
      </c>
      <c r="G893" t="s">
        <v>7</v>
      </c>
      <c r="H893" t="s">
        <v>217</v>
      </c>
      <c r="I893" t="s">
        <v>217</v>
      </c>
      <c r="J893" t="s">
        <v>7</v>
      </c>
      <c r="K893" t="str">
        <f t="shared" si="13"/>
        <v>04600434</v>
      </c>
      <c r="L893">
        <v>11001000</v>
      </c>
      <c r="M893">
        <v>54498000</v>
      </c>
    </row>
    <row r="894" spans="1:13">
      <c r="A894" t="s">
        <v>137</v>
      </c>
      <c r="B894" t="s">
        <v>302</v>
      </c>
      <c r="C894" t="s">
        <v>167</v>
      </c>
      <c r="D894" t="s">
        <v>298</v>
      </c>
      <c r="E894" t="s">
        <v>237</v>
      </c>
      <c r="F894" t="s">
        <v>238</v>
      </c>
      <c r="G894" t="s">
        <v>7</v>
      </c>
      <c r="H894" t="s">
        <v>217</v>
      </c>
      <c r="I894" t="s">
        <v>217</v>
      </c>
      <c r="J894" t="s">
        <v>7</v>
      </c>
      <c r="K894" t="str">
        <f t="shared" si="13"/>
        <v>04600448</v>
      </c>
      <c r="L894">
        <v>11001000</v>
      </c>
      <c r="M894">
        <v>20001000</v>
      </c>
    </row>
    <row r="895" spans="1:13">
      <c r="A895" t="s">
        <v>137</v>
      </c>
      <c r="B895" t="s">
        <v>302</v>
      </c>
      <c r="C895" t="s">
        <v>173</v>
      </c>
      <c r="D895" t="s">
        <v>300</v>
      </c>
      <c r="E895" t="s">
        <v>237</v>
      </c>
      <c r="F895" t="s">
        <v>238</v>
      </c>
      <c r="G895" t="s">
        <v>7</v>
      </c>
      <c r="H895" t="s">
        <v>217</v>
      </c>
      <c r="I895" t="s">
        <v>217</v>
      </c>
      <c r="J895" t="s">
        <v>7</v>
      </c>
      <c r="K895" t="str">
        <f t="shared" si="13"/>
        <v>04600433</v>
      </c>
      <c r="L895">
        <v>11001000</v>
      </c>
      <c r="M895">
        <v>5579000</v>
      </c>
    </row>
    <row r="896" spans="1:13">
      <c r="A896" t="s">
        <v>128</v>
      </c>
      <c r="B896" t="s">
        <v>301</v>
      </c>
      <c r="C896" t="s">
        <v>116</v>
      </c>
      <c r="D896" t="s">
        <v>235</v>
      </c>
      <c r="E896" t="s">
        <v>237</v>
      </c>
      <c r="F896" t="s">
        <v>238</v>
      </c>
      <c r="G896" t="s">
        <v>7</v>
      </c>
      <c r="H896" t="s">
        <v>217</v>
      </c>
      <c r="I896" t="s">
        <v>217</v>
      </c>
      <c r="J896" t="s">
        <v>7</v>
      </c>
      <c r="K896" t="str">
        <f t="shared" si="13"/>
        <v>04610021</v>
      </c>
      <c r="L896">
        <v>11001000</v>
      </c>
      <c r="M896">
        <v>25754000</v>
      </c>
    </row>
    <row r="897" spans="1:13">
      <c r="A897" t="s">
        <v>128</v>
      </c>
      <c r="B897" t="s">
        <v>301</v>
      </c>
      <c r="C897" t="s">
        <v>147</v>
      </c>
      <c r="D897" t="s">
        <v>236</v>
      </c>
      <c r="E897" t="s">
        <v>237</v>
      </c>
      <c r="F897" t="s">
        <v>238</v>
      </c>
      <c r="G897" t="s">
        <v>7</v>
      </c>
      <c r="H897" t="s">
        <v>217</v>
      </c>
      <c r="I897" t="s">
        <v>217</v>
      </c>
      <c r="J897" t="s">
        <v>7</v>
      </c>
      <c r="K897" t="str">
        <f t="shared" si="13"/>
        <v>04610022</v>
      </c>
      <c r="L897">
        <v>11001000</v>
      </c>
      <c r="M897">
        <v>25430000</v>
      </c>
    </row>
    <row r="898" spans="1:13">
      <c r="A898" t="s">
        <v>128</v>
      </c>
      <c r="B898" t="s">
        <v>301</v>
      </c>
      <c r="C898" t="s">
        <v>118</v>
      </c>
      <c r="D898" t="s">
        <v>112</v>
      </c>
      <c r="E898" t="s">
        <v>237</v>
      </c>
      <c r="F898" t="s">
        <v>238</v>
      </c>
      <c r="G898" t="s">
        <v>7</v>
      </c>
      <c r="H898" t="s">
        <v>217</v>
      </c>
      <c r="I898" t="s">
        <v>217</v>
      </c>
      <c r="J898" t="s">
        <v>7</v>
      </c>
      <c r="K898" t="str">
        <f t="shared" si="13"/>
        <v>04610079</v>
      </c>
      <c r="L898">
        <v>11001000</v>
      </c>
      <c r="M898">
        <v>5088000</v>
      </c>
    </row>
    <row r="899" spans="1:13">
      <c r="A899" t="s">
        <v>128</v>
      </c>
      <c r="B899" t="s">
        <v>301</v>
      </c>
      <c r="C899" t="s">
        <v>133</v>
      </c>
      <c r="D899" t="s">
        <v>241</v>
      </c>
      <c r="E899" t="s">
        <v>237</v>
      </c>
      <c r="F899" t="s">
        <v>238</v>
      </c>
      <c r="G899" t="s">
        <v>7</v>
      </c>
      <c r="H899" t="s">
        <v>217</v>
      </c>
      <c r="I899" t="s">
        <v>217</v>
      </c>
      <c r="J899" t="s">
        <v>7</v>
      </c>
      <c r="K899" t="str">
        <f t="shared" ref="K899:K962" si="14">A899&amp;C899</f>
        <v>04610090</v>
      </c>
      <c r="L899">
        <v>11001000</v>
      </c>
      <c r="M899">
        <v>5615000</v>
      </c>
    </row>
    <row r="900" spans="1:13">
      <c r="A900" t="s">
        <v>128</v>
      </c>
      <c r="B900" t="s">
        <v>301</v>
      </c>
      <c r="C900" t="s">
        <v>124</v>
      </c>
      <c r="D900" t="s">
        <v>242</v>
      </c>
      <c r="E900" t="s">
        <v>237</v>
      </c>
      <c r="F900" t="s">
        <v>238</v>
      </c>
      <c r="G900" t="s">
        <v>7</v>
      </c>
      <c r="H900" t="s">
        <v>217</v>
      </c>
      <c r="I900" t="s">
        <v>217</v>
      </c>
      <c r="J900" t="s">
        <v>7</v>
      </c>
      <c r="K900" t="str">
        <f t="shared" si="14"/>
        <v>04610092</v>
      </c>
      <c r="L900">
        <v>11001000</v>
      </c>
      <c r="M900">
        <v>5001000</v>
      </c>
    </row>
    <row r="901" spans="1:13">
      <c r="A901" t="s">
        <v>128</v>
      </c>
      <c r="B901" t="s">
        <v>301</v>
      </c>
      <c r="C901" t="s">
        <v>140</v>
      </c>
      <c r="D901" t="s">
        <v>243</v>
      </c>
      <c r="E901" t="s">
        <v>237</v>
      </c>
      <c r="F901" t="s">
        <v>238</v>
      </c>
      <c r="G901" t="s">
        <v>7</v>
      </c>
      <c r="H901" t="s">
        <v>217</v>
      </c>
      <c r="I901" t="s">
        <v>217</v>
      </c>
      <c r="J901" t="s">
        <v>7</v>
      </c>
      <c r="K901" t="str">
        <f t="shared" si="14"/>
        <v>04610113</v>
      </c>
      <c r="L901">
        <v>11001000</v>
      </c>
      <c r="M901">
        <v>13001000</v>
      </c>
    </row>
    <row r="902" spans="1:13">
      <c r="A902" t="s">
        <v>128</v>
      </c>
      <c r="B902" t="s">
        <v>301</v>
      </c>
      <c r="C902" t="s">
        <v>156</v>
      </c>
      <c r="D902" t="s">
        <v>244</v>
      </c>
      <c r="E902" t="s">
        <v>237</v>
      </c>
      <c r="F902" t="s">
        <v>238</v>
      </c>
      <c r="G902" t="s">
        <v>7</v>
      </c>
      <c r="H902" t="s">
        <v>217</v>
      </c>
      <c r="I902" t="s">
        <v>217</v>
      </c>
      <c r="J902" t="s">
        <v>7</v>
      </c>
      <c r="K902" t="str">
        <f t="shared" si="14"/>
        <v>04610118</v>
      </c>
      <c r="L902">
        <v>11001000</v>
      </c>
      <c r="M902">
        <v>47001000</v>
      </c>
    </row>
    <row r="903" spans="1:13">
      <c r="A903" t="s">
        <v>128</v>
      </c>
      <c r="B903" t="s">
        <v>301</v>
      </c>
      <c r="C903" t="s">
        <v>162</v>
      </c>
      <c r="D903" t="s">
        <v>245</v>
      </c>
      <c r="E903" t="s">
        <v>237</v>
      </c>
      <c r="F903" t="s">
        <v>238</v>
      </c>
      <c r="G903" t="s">
        <v>7</v>
      </c>
      <c r="H903" t="s">
        <v>217</v>
      </c>
      <c r="I903" t="s">
        <v>217</v>
      </c>
      <c r="J903" t="s">
        <v>7</v>
      </c>
      <c r="K903" t="str">
        <f t="shared" si="14"/>
        <v>04610126</v>
      </c>
      <c r="L903">
        <v>11001000</v>
      </c>
      <c r="M903">
        <v>19001000</v>
      </c>
    </row>
    <row r="904" spans="1:13">
      <c r="A904" t="s">
        <v>128</v>
      </c>
      <c r="B904" t="s">
        <v>301</v>
      </c>
      <c r="C904" t="s">
        <v>166</v>
      </c>
      <c r="D904" t="s">
        <v>246</v>
      </c>
      <c r="E904" t="s">
        <v>237</v>
      </c>
      <c r="F904" t="s">
        <v>238</v>
      </c>
      <c r="G904" t="s">
        <v>7</v>
      </c>
      <c r="H904" t="s">
        <v>217</v>
      </c>
      <c r="I904" t="s">
        <v>217</v>
      </c>
      <c r="J904" t="s">
        <v>7</v>
      </c>
      <c r="K904" t="str">
        <f t="shared" si="14"/>
        <v>04610131</v>
      </c>
      <c r="L904">
        <v>11001000</v>
      </c>
      <c r="M904">
        <v>76109000</v>
      </c>
    </row>
    <row r="905" spans="1:13">
      <c r="A905" t="s">
        <v>128</v>
      </c>
      <c r="B905" t="s">
        <v>301</v>
      </c>
      <c r="C905" t="s">
        <v>130</v>
      </c>
      <c r="D905" t="s">
        <v>247</v>
      </c>
      <c r="E905" t="s">
        <v>237</v>
      </c>
      <c r="F905" t="s">
        <v>238</v>
      </c>
      <c r="G905" t="s">
        <v>7</v>
      </c>
      <c r="H905" t="s">
        <v>217</v>
      </c>
      <c r="I905" t="s">
        <v>217</v>
      </c>
      <c r="J905" t="s">
        <v>7</v>
      </c>
      <c r="K905" t="str">
        <f t="shared" si="14"/>
        <v>04610134</v>
      </c>
      <c r="L905">
        <v>11001000</v>
      </c>
      <c r="M905">
        <v>66170000</v>
      </c>
    </row>
    <row r="906" spans="1:13">
      <c r="A906" t="s">
        <v>128</v>
      </c>
      <c r="B906" t="s">
        <v>301</v>
      </c>
      <c r="C906" t="s">
        <v>155</v>
      </c>
      <c r="D906" t="s">
        <v>248</v>
      </c>
      <c r="E906" t="s">
        <v>237</v>
      </c>
      <c r="F906" t="s">
        <v>238</v>
      </c>
      <c r="G906" t="s">
        <v>7</v>
      </c>
      <c r="H906" t="s">
        <v>217</v>
      </c>
      <c r="I906" t="s">
        <v>217</v>
      </c>
      <c r="J906" t="s">
        <v>7</v>
      </c>
      <c r="K906" t="str">
        <f t="shared" si="14"/>
        <v>04610142</v>
      </c>
      <c r="L906">
        <v>11001000</v>
      </c>
      <c r="M906">
        <v>63001000</v>
      </c>
    </row>
    <row r="907" spans="1:13">
      <c r="A907" t="s">
        <v>128</v>
      </c>
      <c r="B907" t="s">
        <v>301</v>
      </c>
      <c r="C907" t="s">
        <v>153</v>
      </c>
      <c r="D907" t="s">
        <v>249</v>
      </c>
      <c r="E907" t="s">
        <v>237</v>
      </c>
      <c r="F907" t="s">
        <v>238</v>
      </c>
      <c r="G907" t="s">
        <v>7</v>
      </c>
      <c r="H907" t="s">
        <v>217</v>
      </c>
      <c r="I907" t="s">
        <v>217</v>
      </c>
      <c r="J907" t="s">
        <v>7</v>
      </c>
      <c r="K907" t="str">
        <f t="shared" si="14"/>
        <v>04610145</v>
      </c>
      <c r="L907">
        <v>11001000</v>
      </c>
      <c r="M907">
        <v>17001000</v>
      </c>
    </row>
    <row r="908" spans="1:13">
      <c r="A908" t="s">
        <v>128</v>
      </c>
      <c r="B908" t="s">
        <v>301</v>
      </c>
      <c r="C908" t="s">
        <v>117</v>
      </c>
      <c r="D908" t="s">
        <v>251</v>
      </c>
      <c r="E908" t="s">
        <v>237</v>
      </c>
      <c r="F908" t="s">
        <v>238</v>
      </c>
      <c r="G908" t="s">
        <v>7</v>
      </c>
      <c r="H908" t="s">
        <v>217</v>
      </c>
      <c r="I908" t="s">
        <v>217</v>
      </c>
      <c r="J908" t="s">
        <v>7</v>
      </c>
      <c r="K908" t="str">
        <f t="shared" si="14"/>
        <v>04610410</v>
      </c>
      <c r="L908">
        <v>11001000</v>
      </c>
      <c r="M908">
        <v>76892000</v>
      </c>
    </row>
    <row r="909" spans="1:13">
      <c r="A909" t="s">
        <v>128</v>
      </c>
      <c r="B909" t="s">
        <v>301</v>
      </c>
      <c r="C909" t="s">
        <v>141</v>
      </c>
      <c r="D909" t="s">
        <v>250</v>
      </c>
      <c r="E909" t="s">
        <v>237</v>
      </c>
      <c r="F909" t="s">
        <v>238</v>
      </c>
      <c r="G909" t="s">
        <v>7</v>
      </c>
      <c r="H909" t="s">
        <v>217</v>
      </c>
      <c r="I909" t="s">
        <v>217</v>
      </c>
      <c r="J909" t="s">
        <v>7</v>
      </c>
      <c r="K909" t="str">
        <f t="shared" si="14"/>
        <v>04610198</v>
      </c>
      <c r="L909">
        <v>11001000</v>
      </c>
      <c r="M909">
        <v>66001000</v>
      </c>
    </row>
    <row r="910" spans="1:13">
      <c r="A910" t="s">
        <v>128</v>
      </c>
      <c r="B910" t="s">
        <v>301</v>
      </c>
      <c r="C910" t="s">
        <v>152</v>
      </c>
      <c r="D910" t="s">
        <v>252</v>
      </c>
      <c r="E910" t="s">
        <v>237</v>
      </c>
      <c r="F910" t="s">
        <v>238</v>
      </c>
      <c r="G910" t="s">
        <v>7</v>
      </c>
      <c r="H910" t="s">
        <v>217</v>
      </c>
      <c r="I910" t="s">
        <v>217</v>
      </c>
      <c r="J910" t="s">
        <v>7</v>
      </c>
      <c r="K910" t="str">
        <f t="shared" si="14"/>
        <v>04610411</v>
      </c>
      <c r="L910">
        <v>11001000</v>
      </c>
      <c r="M910">
        <v>76111000</v>
      </c>
    </row>
    <row r="911" spans="1:13">
      <c r="A911" t="s">
        <v>128</v>
      </c>
      <c r="B911" t="s">
        <v>301</v>
      </c>
      <c r="C911" t="s">
        <v>174</v>
      </c>
      <c r="D911" t="s">
        <v>253</v>
      </c>
      <c r="E911" t="s">
        <v>237</v>
      </c>
      <c r="F911" t="s">
        <v>238</v>
      </c>
      <c r="G911" t="s">
        <v>7</v>
      </c>
      <c r="H911" t="s">
        <v>217</v>
      </c>
      <c r="I911" t="s">
        <v>217</v>
      </c>
      <c r="J911" t="s">
        <v>7</v>
      </c>
      <c r="K911" t="str">
        <f t="shared" si="14"/>
        <v>04610412</v>
      </c>
      <c r="L911">
        <v>11001000</v>
      </c>
      <c r="M911">
        <v>76895000</v>
      </c>
    </row>
    <row r="912" spans="1:13">
      <c r="A912" t="s">
        <v>128</v>
      </c>
      <c r="B912" t="s">
        <v>301</v>
      </c>
      <c r="C912" t="s">
        <v>145</v>
      </c>
      <c r="D912" t="s">
        <v>254</v>
      </c>
      <c r="E912" t="s">
        <v>237</v>
      </c>
      <c r="F912" t="s">
        <v>238</v>
      </c>
      <c r="G912" t="s">
        <v>7</v>
      </c>
      <c r="H912" t="s">
        <v>217</v>
      </c>
      <c r="I912" t="s">
        <v>217</v>
      </c>
      <c r="J912" t="s">
        <v>7</v>
      </c>
      <c r="K912" t="str">
        <f t="shared" si="14"/>
        <v>04610358</v>
      </c>
      <c r="L912">
        <v>11001000</v>
      </c>
      <c r="M912">
        <v>76364000</v>
      </c>
    </row>
    <row r="913" spans="1:13">
      <c r="A913" t="s">
        <v>128</v>
      </c>
      <c r="B913" t="s">
        <v>301</v>
      </c>
      <c r="C913" t="s">
        <v>184</v>
      </c>
      <c r="D913" t="s">
        <v>239</v>
      </c>
      <c r="E913" t="s">
        <v>237</v>
      </c>
      <c r="F913" t="s">
        <v>238</v>
      </c>
      <c r="G913" t="s">
        <v>7</v>
      </c>
      <c r="H913" t="s">
        <v>217</v>
      </c>
      <c r="I913" t="s">
        <v>217</v>
      </c>
      <c r="J913" t="s">
        <v>7</v>
      </c>
      <c r="K913" t="str">
        <f t="shared" si="14"/>
        <v>04610024</v>
      </c>
      <c r="L913">
        <v>11001000</v>
      </c>
      <c r="M913">
        <v>25386000</v>
      </c>
    </row>
    <row r="914" spans="1:13">
      <c r="A914" t="s">
        <v>128</v>
      </c>
      <c r="B914" t="s">
        <v>301</v>
      </c>
      <c r="C914" t="s">
        <v>119</v>
      </c>
      <c r="D914" t="s">
        <v>274</v>
      </c>
      <c r="E914" t="s">
        <v>237</v>
      </c>
      <c r="F914" t="s">
        <v>238</v>
      </c>
      <c r="G914" t="s">
        <v>7</v>
      </c>
      <c r="H914" t="s">
        <v>217</v>
      </c>
      <c r="I914" t="s">
        <v>217</v>
      </c>
      <c r="J914" t="s">
        <v>7</v>
      </c>
      <c r="K914" t="str">
        <f t="shared" si="14"/>
        <v>04610111</v>
      </c>
      <c r="L914">
        <v>11001000</v>
      </c>
      <c r="M914">
        <v>8433000</v>
      </c>
    </row>
    <row r="915" spans="1:13">
      <c r="A915" t="s">
        <v>128</v>
      </c>
      <c r="B915" t="s">
        <v>301</v>
      </c>
      <c r="C915" t="s">
        <v>123</v>
      </c>
      <c r="D915" t="s">
        <v>263</v>
      </c>
      <c r="E915" t="s">
        <v>237</v>
      </c>
      <c r="F915" t="s">
        <v>238</v>
      </c>
      <c r="G915" t="s">
        <v>7</v>
      </c>
      <c r="H915" t="s">
        <v>217</v>
      </c>
      <c r="I915" t="s">
        <v>217</v>
      </c>
      <c r="J915" t="s">
        <v>7</v>
      </c>
      <c r="K915" t="str">
        <f t="shared" si="14"/>
        <v>04610292</v>
      </c>
      <c r="L915">
        <v>11001000</v>
      </c>
      <c r="M915">
        <v>5360000</v>
      </c>
    </row>
    <row r="916" spans="1:13">
      <c r="A916" t="s">
        <v>128</v>
      </c>
      <c r="B916" t="s">
        <v>301</v>
      </c>
      <c r="C916" t="s">
        <v>176</v>
      </c>
      <c r="D916" t="s">
        <v>261</v>
      </c>
      <c r="E916" t="s">
        <v>237</v>
      </c>
      <c r="F916" t="s">
        <v>238</v>
      </c>
      <c r="G916" t="s">
        <v>7</v>
      </c>
      <c r="H916" t="s">
        <v>217</v>
      </c>
      <c r="I916" t="s">
        <v>217</v>
      </c>
      <c r="J916" t="s">
        <v>7</v>
      </c>
      <c r="K916" t="str">
        <f t="shared" si="14"/>
        <v>04610146</v>
      </c>
      <c r="L916">
        <v>11001000</v>
      </c>
      <c r="M916">
        <v>17001000</v>
      </c>
    </row>
    <row r="917" spans="1:13">
      <c r="A917" t="s">
        <v>128</v>
      </c>
      <c r="B917" t="s">
        <v>301</v>
      </c>
      <c r="C917" t="s">
        <v>185</v>
      </c>
      <c r="D917" t="s">
        <v>257</v>
      </c>
      <c r="E917" t="s">
        <v>237</v>
      </c>
      <c r="F917" t="s">
        <v>238</v>
      </c>
      <c r="G917" t="s">
        <v>7</v>
      </c>
      <c r="H917" t="s">
        <v>217</v>
      </c>
      <c r="I917" t="s">
        <v>217</v>
      </c>
      <c r="J917" t="s">
        <v>7</v>
      </c>
      <c r="K917" t="str">
        <f t="shared" si="14"/>
        <v>04610080</v>
      </c>
      <c r="L917">
        <v>11001000</v>
      </c>
      <c r="M917">
        <v>5001000</v>
      </c>
    </row>
    <row r="918" spans="1:13">
      <c r="A918" t="s">
        <v>128</v>
      </c>
      <c r="B918" t="s">
        <v>301</v>
      </c>
      <c r="C918" t="s">
        <v>172</v>
      </c>
      <c r="D918" t="s">
        <v>258</v>
      </c>
      <c r="E918" t="s">
        <v>237</v>
      </c>
      <c r="F918" t="s">
        <v>238</v>
      </c>
      <c r="G918" t="s">
        <v>7</v>
      </c>
      <c r="H918" t="s">
        <v>217</v>
      </c>
      <c r="I918" t="s">
        <v>217</v>
      </c>
      <c r="J918" t="s">
        <v>7</v>
      </c>
      <c r="K918" t="str">
        <f t="shared" si="14"/>
        <v>04610230</v>
      </c>
      <c r="L918">
        <v>11001000</v>
      </c>
      <c r="M918">
        <v>44430000</v>
      </c>
    </row>
    <row r="919" spans="1:13">
      <c r="A919" t="s">
        <v>128</v>
      </c>
      <c r="B919" t="s">
        <v>301</v>
      </c>
      <c r="C919" t="s">
        <v>181</v>
      </c>
      <c r="D919" t="s">
        <v>260</v>
      </c>
      <c r="E919" t="s">
        <v>237</v>
      </c>
      <c r="F919" t="s">
        <v>238</v>
      </c>
      <c r="G919" t="s">
        <v>7</v>
      </c>
      <c r="H919" t="s">
        <v>217</v>
      </c>
      <c r="I919" t="s">
        <v>217</v>
      </c>
      <c r="J919" t="s">
        <v>7</v>
      </c>
      <c r="K919" t="str">
        <f t="shared" si="14"/>
        <v>04610119</v>
      </c>
      <c r="L919">
        <v>11001000</v>
      </c>
      <c r="M919">
        <v>47001000</v>
      </c>
    </row>
    <row r="920" spans="1:13">
      <c r="A920" t="s">
        <v>128</v>
      </c>
      <c r="B920" t="s">
        <v>301</v>
      </c>
      <c r="C920" t="s">
        <v>186</v>
      </c>
      <c r="D920" t="s">
        <v>262</v>
      </c>
      <c r="E920" t="s">
        <v>237</v>
      </c>
      <c r="F920" t="s">
        <v>238</v>
      </c>
      <c r="G920" t="s">
        <v>7</v>
      </c>
      <c r="H920" t="s">
        <v>217</v>
      </c>
      <c r="I920" t="s">
        <v>217</v>
      </c>
      <c r="J920" t="s">
        <v>7</v>
      </c>
      <c r="K920" t="str">
        <f t="shared" si="14"/>
        <v>04610239</v>
      </c>
      <c r="L920">
        <v>11001000</v>
      </c>
      <c r="M920">
        <v>44001000</v>
      </c>
    </row>
    <row r="921" spans="1:13">
      <c r="A921" t="s">
        <v>128</v>
      </c>
      <c r="B921" t="s">
        <v>301</v>
      </c>
      <c r="C921" t="s">
        <v>136</v>
      </c>
      <c r="D921" t="s">
        <v>276</v>
      </c>
      <c r="E921" t="s">
        <v>237</v>
      </c>
      <c r="F921" t="s">
        <v>238</v>
      </c>
      <c r="G921" t="s">
        <v>7</v>
      </c>
      <c r="H921" t="s">
        <v>217</v>
      </c>
      <c r="I921" t="s">
        <v>217</v>
      </c>
      <c r="J921" t="s">
        <v>7</v>
      </c>
      <c r="K921" t="str">
        <f t="shared" si="14"/>
        <v>04610074</v>
      </c>
      <c r="L921">
        <v>11001000</v>
      </c>
      <c r="M921">
        <v>5001000</v>
      </c>
    </row>
    <row r="922" spans="1:13">
      <c r="A922" t="s">
        <v>128</v>
      </c>
      <c r="B922" t="s">
        <v>301</v>
      </c>
      <c r="C922" t="s">
        <v>125</v>
      </c>
      <c r="D922" t="s">
        <v>277</v>
      </c>
      <c r="E922" t="s">
        <v>237</v>
      </c>
      <c r="F922" t="s">
        <v>238</v>
      </c>
      <c r="G922" t="s">
        <v>7</v>
      </c>
      <c r="H922" t="s">
        <v>217</v>
      </c>
      <c r="I922" t="s">
        <v>217</v>
      </c>
      <c r="J922" t="s">
        <v>7</v>
      </c>
      <c r="K922" t="str">
        <f t="shared" si="14"/>
        <v>04610445</v>
      </c>
      <c r="L922">
        <v>11001000</v>
      </c>
      <c r="M922">
        <v>19142000</v>
      </c>
    </row>
    <row r="923" spans="1:13">
      <c r="A923" t="s">
        <v>128</v>
      </c>
      <c r="B923" t="s">
        <v>301</v>
      </c>
      <c r="C923" t="s">
        <v>131</v>
      </c>
      <c r="D923" t="s">
        <v>278</v>
      </c>
      <c r="E923" t="s">
        <v>237</v>
      </c>
      <c r="F923" t="s">
        <v>238</v>
      </c>
      <c r="G923" t="s">
        <v>7</v>
      </c>
      <c r="H923" t="s">
        <v>217</v>
      </c>
      <c r="I923" t="s">
        <v>217</v>
      </c>
      <c r="J923" t="s">
        <v>7</v>
      </c>
      <c r="K923" t="str">
        <f t="shared" si="14"/>
        <v>04610035</v>
      </c>
      <c r="L923">
        <v>11001000</v>
      </c>
      <c r="M923">
        <v>25799000</v>
      </c>
    </row>
    <row r="924" spans="1:13">
      <c r="A924" t="s">
        <v>128</v>
      </c>
      <c r="B924" t="s">
        <v>301</v>
      </c>
      <c r="C924" t="s">
        <v>159</v>
      </c>
      <c r="D924" t="s">
        <v>279</v>
      </c>
      <c r="E924" t="s">
        <v>237</v>
      </c>
      <c r="F924" t="s">
        <v>238</v>
      </c>
      <c r="G924" t="s">
        <v>7</v>
      </c>
      <c r="H924" t="s">
        <v>217</v>
      </c>
      <c r="I924" t="s">
        <v>217</v>
      </c>
      <c r="J924" t="s">
        <v>7</v>
      </c>
      <c r="K924" t="str">
        <f t="shared" si="14"/>
        <v>04610384</v>
      </c>
      <c r="L924">
        <v>11001000</v>
      </c>
      <c r="M924">
        <v>5154000</v>
      </c>
    </row>
    <row r="925" spans="1:13">
      <c r="A925" t="s">
        <v>128</v>
      </c>
      <c r="B925" t="s">
        <v>301</v>
      </c>
      <c r="C925" t="s">
        <v>129</v>
      </c>
      <c r="D925" t="s">
        <v>280</v>
      </c>
      <c r="E925" t="s">
        <v>237</v>
      </c>
      <c r="F925" t="s">
        <v>238</v>
      </c>
      <c r="G925" t="s">
        <v>7</v>
      </c>
      <c r="H925" t="s">
        <v>217</v>
      </c>
      <c r="I925" t="s">
        <v>217</v>
      </c>
      <c r="J925" t="s">
        <v>7</v>
      </c>
      <c r="K925" t="str">
        <f t="shared" si="14"/>
        <v>04610381</v>
      </c>
      <c r="L925">
        <v>11001000</v>
      </c>
      <c r="M925">
        <v>23001000</v>
      </c>
    </row>
    <row r="926" spans="1:13">
      <c r="A926" t="s">
        <v>128</v>
      </c>
      <c r="B926" t="s">
        <v>301</v>
      </c>
      <c r="C926" t="s">
        <v>134</v>
      </c>
      <c r="D926" t="s">
        <v>281</v>
      </c>
      <c r="E926" t="s">
        <v>237</v>
      </c>
      <c r="F926" t="s">
        <v>238</v>
      </c>
      <c r="G926" t="s">
        <v>7</v>
      </c>
      <c r="H926" t="s">
        <v>217</v>
      </c>
      <c r="I926" t="s">
        <v>217</v>
      </c>
      <c r="J926" t="s">
        <v>7</v>
      </c>
      <c r="K926" t="str">
        <f t="shared" si="14"/>
        <v>04610424</v>
      </c>
      <c r="L926">
        <v>11001000</v>
      </c>
      <c r="M926">
        <v>68081000</v>
      </c>
    </row>
    <row r="927" spans="1:13">
      <c r="A927" t="s">
        <v>128</v>
      </c>
      <c r="B927" t="s">
        <v>301</v>
      </c>
      <c r="C927" t="s">
        <v>121</v>
      </c>
      <c r="D927" t="s">
        <v>282</v>
      </c>
      <c r="E927" t="s">
        <v>237</v>
      </c>
      <c r="F927" t="s">
        <v>238</v>
      </c>
      <c r="G927" t="s">
        <v>7</v>
      </c>
      <c r="H927" t="s">
        <v>217</v>
      </c>
      <c r="I927" t="s">
        <v>217</v>
      </c>
      <c r="J927" t="s">
        <v>7</v>
      </c>
      <c r="K927" t="str">
        <f t="shared" si="14"/>
        <v>04610438</v>
      </c>
      <c r="L927">
        <v>11001000</v>
      </c>
      <c r="M927">
        <v>54001000</v>
      </c>
    </row>
    <row r="928" spans="1:13">
      <c r="A928" t="s">
        <v>128</v>
      </c>
      <c r="B928" t="s">
        <v>301</v>
      </c>
      <c r="C928" t="s">
        <v>132</v>
      </c>
      <c r="D928" t="s">
        <v>255</v>
      </c>
      <c r="E928" t="s">
        <v>237</v>
      </c>
      <c r="F928" t="s">
        <v>238</v>
      </c>
      <c r="G928" t="s">
        <v>7</v>
      </c>
      <c r="H928" t="s">
        <v>217</v>
      </c>
      <c r="I928" t="s">
        <v>217</v>
      </c>
      <c r="J928" t="s">
        <v>7</v>
      </c>
      <c r="K928" t="str">
        <f t="shared" si="14"/>
        <v>04610441</v>
      </c>
      <c r="L928">
        <v>11001000</v>
      </c>
      <c r="M928">
        <v>15238000</v>
      </c>
    </row>
    <row r="929" spans="1:13">
      <c r="A929" t="s">
        <v>128</v>
      </c>
      <c r="B929" t="s">
        <v>301</v>
      </c>
      <c r="C929" t="s">
        <v>154</v>
      </c>
      <c r="D929" t="s">
        <v>283</v>
      </c>
      <c r="E929" t="s">
        <v>237</v>
      </c>
      <c r="F929" t="s">
        <v>238</v>
      </c>
      <c r="G929" t="s">
        <v>7</v>
      </c>
      <c r="H929" t="s">
        <v>217</v>
      </c>
      <c r="I929" t="s">
        <v>217</v>
      </c>
      <c r="J929" t="s">
        <v>7</v>
      </c>
      <c r="K929" t="str">
        <f t="shared" si="14"/>
        <v>04610442</v>
      </c>
      <c r="L929">
        <v>11001000</v>
      </c>
      <c r="M929">
        <v>85001000</v>
      </c>
    </row>
    <row r="930" spans="1:13">
      <c r="A930" t="s">
        <v>128</v>
      </c>
      <c r="B930" t="s">
        <v>301</v>
      </c>
      <c r="C930" t="s">
        <v>158</v>
      </c>
      <c r="D930" t="s">
        <v>284</v>
      </c>
      <c r="E930" t="s">
        <v>237</v>
      </c>
      <c r="F930" t="s">
        <v>238</v>
      </c>
      <c r="G930" t="s">
        <v>7</v>
      </c>
      <c r="H930" t="s">
        <v>217</v>
      </c>
      <c r="I930" t="s">
        <v>217</v>
      </c>
      <c r="J930" t="s">
        <v>7</v>
      </c>
      <c r="K930" t="str">
        <f t="shared" si="14"/>
        <v>04610444</v>
      </c>
      <c r="L930">
        <v>11001000</v>
      </c>
      <c r="M930">
        <v>15176000</v>
      </c>
    </row>
    <row r="931" spans="1:13">
      <c r="A931" t="s">
        <v>128</v>
      </c>
      <c r="B931" t="s">
        <v>301</v>
      </c>
      <c r="C931" t="s">
        <v>144</v>
      </c>
      <c r="D931" t="s">
        <v>285</v>
      </c>
      <c r="E931" t="s">
        <v>237</v>
      </c>
      <c r="F931" t="s">
        <v>238</v>
      </c>
      <c r="G931" t="s">
        <v>7</v>
      </c>
      <c r="H931" t="s">
        <v>217</v>
      </c>
      <c r="I931" t="s">
        <v>217</v>
      </c>
      <c r="J931" t="s">
        <v>7</v>
      </c>
      <c r="K931" t="str">
        <f t="shared" si="14"/>
        <v>04610443</v>
      </c>
      <c r="L931">
        <v>11001000</v>
      </c>
      <c r="M931">
        <v>15001000</v>
      </c>
    </row>
    <row r="932" spans="1:13">
      <c r="A932" t="s">
        <v>128</v>
      </c>
      <c r="B932" t="s">
        <v>301</v>
      </c>
      <c r="C932" t="s">
        <v>149</v>
      </c>
      <c r="D932" t="s">
        <v>286</v>
      </c>
      <c r="E932" t="s">
        <v>237</v>
      </c>
      <c r="F932" t="s">
        <v>238</v>
      </c>
      <c r="G932" t="s">
        <v>7</v>
      </c>
      <c r="H932" t="s">
        <v>217</v>
      </c>
      <c r="I932" t="s">
        <v>217</v>
      </c>
      <c r="J932" t="s">
        <v>7</v>
      </c>
      <c r="K932" t="str">
        <f t="shared" si="14"/>
        <v>04610447</v>
      </c>
      <c r="L932">
        <v>11001000</v>
      </c>
      <c r="M932">
        <v>20001000</v>
      </c>
    </row>
    <row r="933" spans="1:13">
      <c r="A933" t="s">
        <v>128</v>
      </c>
      <c r="B933" t="s">
        <v>301</v>
      </c>
      <c r="C933" t="s">
        <v>160</v>
      </c>
      <c r="D933" t="s">
        <v>287</v>
      </c>
      <c r="E933" t="s">
        <v>237</v>
      </c>
      <c r="F933" t="s">
        <v>238</v>
      </c>
      <c r="G933" t="s">
        <v>7</v>
      </c>
      <c r="H933" t="s">
        <v>217</v>
      </c>
      <c r="I933" t="s">
        <v>217</v>
      </c>
      <c r="J933" t="s">
        <v>7</v>
      </c>
      <c r="K933" t="str">
        <f t="shared" si="14"/>
        <v>04610423</v>
      </c>
      <c r="L933">
        <v>11001000</v>
      </c>
      <c r="M933">
        <v>68001000</v>
      </c>
    </row>
    <row r="934" spans="1:13">
      <c r="A934" t="s">
        <v>128</v>
      </c>
      <c r="B934" t="s">
        <v>301</v>
      </c>
      <c r="C934" t="s">
        <v>157</v>
      </c>
      <c r="D934" t="s">
        <v>288</v>
      </c>
      <c r="E934" t="s">
        <v>237</v>
      </c>
      <c r="F934" t="s">
        <v>238</v>
      </c>
      <c r="G934" t="s">
        <v>7</v>
      </c>
      <c r="H934" t="s">
        <v>217</v>
      </c>
      <c r="I934" t="s">
        <v>217</v>
      </c>
      <c r="J934" t="s">
        <v>7</v>
      </c>
      <c r="K934" t="str">
        <f t="shared" si="14"/>
        <v>04610446</v>
      </c>
      <c r="L934">
        <v>11001000</v>
      </c>
      <c r="M934">
        <v>68077000</v>
      </c>
    </row>
    <row r="935" spans="1:13">
      <c r="A935" t="s">
        <v>128</v>
      </c>
      <c r="B935" t="s">
        <v>301</v>
      </c>
      <c r="C935" t="s">
        <v>170</v>
      </c>
      <c r="D935" t="s">
        <v>270</v>
      </c>
      <c r="E935" t="s">
        <v>237</v>
      </c>
      <c r="F935" t="s">
        <v>238</v>
      </c>
      <c r="G935" t="s">
        <v>7</v>
      </c>
      <c r="H935" t="s">
        <v>217</v>
      </c>
      <c r="I935" t="s">
        <v>217</v>
      </c>
      <c r="J935" t="s">
        <v>7</v>
      </c>
      <c r="K935" t="str">
        <f t="shared" si="14"/>
        <v>04610392</v>
      </c>
      <c r="L935">
        <v>11001000</v>
      </c>
      <c r="M935">
        <v>73443000</v>
      </c>
    </row>
    <row r="936" spans="1:13">
      <c r="A936" t="s">
        <v>128</v>
      </c>
      <c r="B936" t="s">
        <v>301</v>
      </c>
      <c r="C936" t="s">
        <v>126</v>
      </c>
      <c r="D936" t="s">
        <v>267</v>
      </c>
      <c r="E936" t="s">
        <v>237</v>
      </c>
      <c r="F936" t="s">
        <v>238</v>
      </c>
      <c r="G936" t="s">
        <v>7</v>
      </c>
      <c r="H936" t="s">
        <v>217</v>
      </c>
      <c r="I936" t="s">
        <v>217</v>
      </c>
      <c r="J936" t="s">
        <v>7</v>
      </c>
      <c r="K936" t="str">
        <f t="shared" si="14"/>
        <v>04610389</v>
      </c>
      <c r="L936">
        <v>11001000</v>
      </c>
      <c r="M936">
        <v>73001000</v>
      </c>
    </row>
    <row r="937" spans="1:13">
      <c r="A937" t="s">
        <v>128</v>
      </c>
      <c r="B937" t="s">
        <v>301</v>
      </c>
      <c r="C937" t="s">
        <v>122</v>
      </c>
      <c r="D937" t="s">
        <v>289</v>
      </c>
      <c r="E937" t="s">
        <v>237</v>
      </c>
      <c r="F937" t="s">
        <v>238</v>
      </c>
      <c r="G937" t="s">
        <v>7</v>
      </c>
      <c r="H937" t="s">
        <v>217</v>
      </c>
      <c r="I937" t="s">
        <v>217</v>
      </c>
      <c r="J937" t="s">
        <v>7</v>
      </c>
      <c r="K937" t="str">
        <f t="shared" si="14"/>
        <v>04610385</v>
      </c>
      <c r="L937">
        <v>11001000</v>
      </c>
      <c r="M937">
        <v>41001000</v>
      </c>
    </row>
    <row r="938" spans="1:13">
      <c r="A938" t="s">
        <v>128</v>
      </c>
      <c r="B938" t="s">
        <v>301</v>
      </c>
      <c r="C938" t="s">
        <v>135</v>
      </c>
      <c r="D938" t="s">
        <v>290</v>
      </c>
      <c r="E938" t="s">
        <v>237</v>
      </c>
      <c r="F938" t="s">
        <v>238</v>
      </c>
      <c r="G938" t="s">
        <v>7</v>
      </c>
      <c r="H938" t="s">
        <v>217</v>
      </c>
      <c r="I938" t="s">
        <v>217</v>
      </c>
      <c r="J938" t="s">
        <v>7</v>
      </c>
      <c r="K938" t="str">
        <f t="shared" si="14"/>
        <v>04610393</v>
      </c>
      <c r="L938">
        <v>11001000</v>
      </c>
      <c r="M938">
        <v>50001000</v>
      </c>
    </row>
    <row r="939" spans="1:13">
      <c r="A939" t="s">
        <v>128</v>
      </c>
      <c r="B939" t="s">
        <v>301</v>
      </c>
      <c r="C939" t="s">
        <v>151</v>
      </c>
      <c r="D939" t="s">
        <v>271</v>
      </c>
      <c r="E939" t="s">
        <v>237</v>
      </c>
      <c r="F939" t="s">
        <v>238</v>
      </c>
      <c r="G939" t="s">
        <v>7</v>
      </c>
      <c r="H939" t="s">
        <v>217</v>
      </c>
      <c r="I939" t="s">
        <v>217</v>
      </c>
      <c r="J939" t="s">
        <v>7</v>
      </c>
      <c r="K939" t="str">
        <f t="shared" si="14"/>
        <v>04610395</v>
      </c>
      <c r="L939">
        <v>11001000</v>
      </c>
      <c r="M939">
        <v>52001000</v>
      </c>
    </row>
    <row r="940" spans="1:13">
      <c r="A940" t="s">
        <v>128</v>
      </c>
      <c r="B940" t="s">
        <v>301</v>
      </c>
      <c r="C940" t="s">
        <v>127</v>
      </c>
      <c r="D940" t="s">
        <v>268</v>
      </c>
      <c r="E940" t="s">
        <v>237</v>
      </c>
      <c r="F940" t="s">
        <v>238</v>
      </c>
      <c r="G940" t="s">
        <v>7</v>
      </c>
      <c r="H940" t="s">
        <v>217</v>
      </c>
      <c r="I940" t="s">
        <v>217</v>
      </c>
      <c r="J940" t="s">
        <v>7</v>
      </c>
      <c r="K940" t="str">
        <f t="shared" si="14"/>
        <v>04610390</v>
      </c>
      <c r="L940">
        <v>11001000</v>
      </c>
      <c r="M940">
        <v>25612000</v>
      </c>
    </row>
    <row r="941" spans="1:13">
      <c r="A941" t="s">
        <v>128</v>
      </c>
      <c r="B941" t="s">
        <v>301</v>
      </c>
      <c r="C941" t="s">
        <v>143</v>
      </c>
      <c r="D941" t="s">
        <v>266</v>
      </c>
      <c r="E941" t="s">
        <v>237</v>
      </c>
      <c r="F941" t="s">
        <v>238</v>
      </c>
      <c r="G941" t="s">
        <v>7</v>
      </c>
      <c r="H941" t="s">
        <v>217</v>
      </c>
      <c r="I941" t="s">
        <v>217</v>
      </c>
      <c r="J941" t="s">
        <v>7</v>
      </c>
      <c r="K941" t="str">
        <f t="shared" si="14"/>
        <v>04610388</v>
      </c>
      <c r="L941">
        <v>11001000</v>
      </c>
      <c r="M941">
        <v>18001000</v>
      </c>
    </row>
    <row r="942" spans="1:13">
      <c r="A942" t="s">
        <v>128</v>
      </c>
      <c r="B942" t="s">
        <v>301</v>
      </c>
      <c r="C942" t="s">
        <v>171</v>
      </c>
      <c r="D942" t="s">
        <v>269</v>
      </c>
      <c r="E942" t="s">
        <v>237</v>
      </c>
      <c r="F942" t="s">
        <v>238</v>
      </c>
      <c r="G942" t="s">
        <v>7</v>
      </c>
      <c r="H942" t="s">
        <v>217</v>
      </c>
      <c r="I942" t="s">
        <v>217</v>
      </c>
      <c r="J942" t="s">
        <v>7</v>
      </c>
      <c r="K942" t="str">
        <f t="shared" si="14"/>
        <v>04610391</v>
      </c>
      <c r="L942">
        <v>11001000</v>
      </c>
      <c r="M942">
        <v>17380000</v>
      </c>
    </row>
    <row r="943" spans="1:13">
      <c r="A943" t="s">
        <v>128</v>
      </c>
      <c r="B943" t="s">
        <v>301</v>
      </c>
      <c r="C943" t="s">
        <v>150</v>
      </c>
      <c r="D943" t="s">
        <v>256</v>
      </c>
      <c r="E943" t="s">
        <v>237</v>
      </c>
      <c r="F943" t="s">
        <v>238</v>
      </c>
      <c r="G943" t="s">
        <v>7</v>
      </c>
      <c r="H943" t="s">
        <v>217</v>
      </c>
      <c r="I943" t="s">
        <v>217</v>
      </c>
      <c r="J943" t="s">
        <v>7</v>
      </c>
      <c r="K943" t="str">
        <f t="shared" si="14"/>
        <v>04610394</v>
      </c>
      <c r="L943">
        <v>11001000</v>
      </c>
      <c r="M943">
        <v>50313000</v>
      </c>
    </row>
    <row r="944" spans="1:13">
      <c r="A944" t="s">
        <v>128</v>
      </c>
      <c r="B944" t="s">
        <v>301</v>
      </c>
      <c r="C944" t="s">
        <v>177</v>
      </c>
      <c r="D944" t="s">
        <v>264</v>
      </c>
      <c r="E944" t="s">
        <v>237</v>
      </c>
      <c r="F944" t="s">
        <v>238</v>
      </c>
      <c r="G944" t="s">
        <v>7</v>
      </c>
      <c r="H944" t="s">
        <v>217</v>
      </c>
      <c r="I944" t="s">
        <v>217</v>
      </c>
      <c r="J944" t="s">
        <v>7</v>
      </c>
      <c r="K944" t="str">
        <f t="shared" si="14"/>
        <v>04610386</v>
      </c>
      <c r="L944">
        <v>11001000</v>
      </c>
      <c r="M944">
        <v>73671000</v>
      </c>
    </row>
    <row r="945" spans="1:13">
      <c r="A945" t="s">
        <v>128</v>
      </c>
      <c r="B945" t="s">
        <v>301</v>
      </c>
      <c r="C945" t="s">
        <v>169</v>
      </c>
      <c r="D945" t="s">
        <v>291</v>
      </c>
      <c r="E945" t="s">
        <v>237</v>
      </c>
      <c r="F945" t="s">
        <v>238</v>
      </c>
      <c r="G945" t="s">
        <v>7</v>
      </c>
      <c r="H945" t="s">
        <v>217</v>
      </c>
      <c r="I945" t="s">
        <v>217</v>
      </c>
      <c r="J945" t="s">
        <v>7</v>
      </c>
      <c r="K945" t="str">
        <f t="shared" si="14"/>
        <v>04610449</v>
      </c>
      <c r="L945">
        <v>11001000</v>
      </c>
      <c r="M945">
        <v>20060000</v>
      </c>
    </row>
    <row r="946" spans="1:13">
      <c r="A946" t="s">
        <v>128</v>
      </c>
      <c r="B946" t="s">
        <v>301</v>
      </c>
      <c r="C946" t="s">
        <v>120</v>
      </c>
      <c r="D946" t="s">
        <v>292</v>
      </c>
      <c r="E946" t="s">
        <v>237</v>
      </c>
      <c r="F946" t="s">
        <v>238</v>
      </c>
      <c r="G946" t="s">
        <v>7</v>
      </c>
      <c r="H946" t="s">
        <v>217</v>
      </c>
      <c r="I946" t="s">
        <v>217</v>
      </c>
      <c r="J946" t="s">
        <v>7</v>
      </c>
      <c r="K946" t="str">
        <f t="shared" si="14"/>
        <v>04610422</v>
      </c>
      <c r="L946">
        <v>11001000</v>
      </c>
      <c r="M946">
        <v>68547000</v>
      </c>
    </row>
    <row r="947" spans="1:13">
      <c r="A947" t="s">
        <v>128</v>
      </c>
      <c r="B947" t="s">
        <v>301</v>
      </c>
      <c r="C947" t="s">
        <v>161</v>
      </c>
      <c r="D947" t="s">
        <v>293</v>
      </c>
      <c r="E947" t="s">
        <v>237</v>
      </c>
      <c r="F947" t="s">
        <v>238</v>
      </c>
      <c r="G947" t="s">
        <v>7</v>
      </c>
      <c r="H947" t="s">
        <v>217</v>
      </c>
      <c r="I947" t="s">
        <v>217</v>
      </c>
      <c r="J947" t="s">
        <v>7</v>
      </c>
      <c r="K947" t="str">
        <f t="shared" si="14"/>
        <v>04610382</v>
      </c>
      <c r="L947">
        <v>11001000</v>
      </c>
      <c r="M947">
        <v>70001000</v>
      </c>
    </row>
    <row r="948" spans="1:13">
      <c r="A948" t="s">
        <v>128</v>
      </c>
      <c r="B948" t="s">
        <v>301</v>
      </c>
      <c r="C948" t="s">
        <v>189</v>
      </c>
      <c r="D948" t="s">
        <v>296</v>
      </c>
      <c r="E948" t="s">
        <v>237</v>
      </c>
      <c r="F948" t="s">
        <v>238</v>
      </c>
      <c r="G948" t="s">
        <v>7</v>
      </c>
      <c r="H948" t="s">
        <v>217</v>
      </c>
      <c r="I948" t="s">
        <v>217</v>
      </c>
      <c r="J948" t="s">
        <v>7</v>
      </c>
      <c r="K948" t="str">
        <f t="shared" si="14"/>
        <v>04610439</v>
      </c>
      <c r="L948">
        <v>11001000</v>
      </c>
      <c r="M948">
        <v>54001000</v>
      </c>
    </row>
    <row r="949" spans="1:13">
      <c r="A949" t="s">
        <v>128</v>
      </c>
      <c r="B949" t="s">
        <v>301</v>
      </c>
      <c r="C949" t="s">
        <v>138</v>
      </c>
      <c r="D949" t="s">
        <v>265</v>
      </c>
      <c r="E949" t="s">
        <v>237</v>
      </c>
      <c r="F949" t="s">
        <v>238</v>
      </c>
      <c r="G949" t="s">
        <v>7</v>
      </c>
      <c r="H949" t="s">
        <v>217</v>
      </c>
      <c r="I949" t="s">
        <v>217</v>
      </c>
      <c r="J949" t="s">
        <v>7</v>
      </c>
      <c r="K949" t="str">
        <f t="shared" si="14"/>
        <v>04610387</v>
      </c>
      <c r="L949">
        <v>11001000</v>
      </c>
      <c r="M949">
        <v>41298000</v>
      </c>
    </row>
    <row r="950" spans="1:13">
      <c r="A950" t="s">
        <v>128</v>
      </c>
      <c r="B950" t="s">
        <v>301</v>
      </c>
      <c r="C950" t="s">
        <v>148</v>
      </c>
      <c r="D950" t="s">
        <v>294</v>
      </c>
      <c r="E950" t="s">
        <v>237</v>
      </c>
      <c r="F950" t="s">
        <v>238</v>
      </c>
      <c r="G950" t="s">
        <v>7</v>
      </c>
      <c r="H950" t="s">
        <v>217</v>
      </c>
      <c r="I950" t="s">
        <v>217</v>
      </c>
      <c r="J950" t="s">
        <v>7</v>
      </c>
      <c r="K950" t="str">
        <f t="shared" si="14"/>
        <v>04610437</v>
      </c>
      <c r="L950">
        <v>11001000</v>
      </c>
      <c r="M950">
        <v>20011000</v>
      </c>
    </row>
    <row r="951" spans="1:13">
      <c r="A951" t="s">
        <v>128</v>
      </c>
      <c r="B951" t="s">
        <v>301</v>
      </c>
      <c r="C951" t="s">
        <v>165</v>
      </c>
      <c r="D951" t="s">
        <v>295</v>
      </c>
      <c r="E951" t="s">
        <v>237</v>
      </c>
      <c r="F951" t="s">
        <v>238</v>
      </c>
      <c r="G951" t="s">
        <v>7</v>
      </c>
      <c r="H951" t="s">
        <v>217</v>
      </c>
      <c r="I951" t="s">
        <v>217</v>
      </c>
      <c r="J951" t="s">
        <v>7</v>
      </c>
      <c r="K951" t="str">
        <f t="shared" si="14"/>
        <v>04610434</v>
      </c>
      <c r="L951">
        <v>11001000</v>
      </c>
      <c r="M951">
        <v>54498000</v>
      </c>
    </row>
    <row r="952" spans="1:13">
      <c r="A952" t="s">
        <v>128</v>
      </c>
      <c r="B952" t="s">
        <v>301</v>
      </c>
      <c r="C952" t="s">
        <v>173</v>
      </c>
      <c r="D952" t="s">
        <v>300</v>
      </c>
      <c r="E952" t="s">
        <v>237</v>
      </c>
      <c r="F952" t="s">
        <v>238</v>
      </c>
      <c r="G952" t="s">
        <v>7</v>
      </c>
      <c r="H952" t="s">
        <v>217</v>
      </c>
      <c r="I952" t="s">
        <v>217</v>
      </c>
      <c r="J952" t="s">
        <v>7</v>
      </c>
      <c r="K952" t="str">
        <f t="shared" si="14"/>
        <v>04610433</v>
      </c>
      <c r="L952">
        <v>11001000</v>
      </c>
      <c r="M952">
        <v>5579000</v>
      </c>
    </row>
    <row r="953" spans="1:13">
      <c r="A953" t="s">
        <v>128</v>
      </c>
      <c r="B953" t="s">
        <v>301</v>
      </c>
      <c r="C953" t="s">
        <v>187</v>
      </c>
      <c r="D953" t="s">
        <v>299</v>
      </c>
      <c r="E953" t="s">
        <v>237</v>
      </c>
      <c r="F953" t="s">
        <v>238</v>
      </c>
      <c r="G953" t="s">
        <v>7</v>
      </c>
      <c r="H953" t="s">
        <v>217</v>
      </c>
      <c r="I953" t="s">
        <v>217</v>
      </c>
      <c r="J953" t="s">
        <v>7</v>
      </c>
      <c r="K953" t="str">
        <f t="shared" si="14"/>
        <v>04610436</v>
      </c>
      <c r="L953">
        <v>11001000</v>
      </c>
      <c r="M953">
        <v>20001000</v>
      </c>
    </row>
    <row r="954" spans="1:13">
      <c r="A954" t="s">
        <v>128</v>
      </c>
      <c r="B954" t="s">
        <v>301</v>
      </c>
      <c r="C954" t="s">
        <v>178</v>
      </c>
      <c r="D954" t="s">
        <v>297</v>
      </c>
      <c r="E954" t="s">
        <v>237</v>
      </c>
      <c r="F954" t="s">
        <v>238</v>
      </c>
      <c r="G954" t="s">
        <v>7</v>
      </c>
      <c r="H954" t="s">
        <v>217</v>
      </c>
      <c r="I954" t="s">
        <v>217</v>
      </c>
      <c r="J954" t="s">
        <v>7</v>
      </c>
      <c r="K954" t="str">
        <f t="shared" si="14"/>
        <v>04610383</v>
      </c>
      <c r="L954">
        <v>11001000</v>
      </c>
      <c r="M954">
        <v>70001000</v>
      </c>
    </row>
    <row r="955" spans="1:13">
      <c r="A955" t="s">
        <v>116</v>
      </c>
      <c r="B955" t="s">
        <v>235</v>
      </c>
      <c r="C955" t="s">
        <v>137</v>
      </c>
      <c r="D955" t="s">
        <v>302</v>
      </c>
      <c r="E955" t="s">
        <v>237</v>
      </c>
      <c r="F955" t="s">
        <v>238</v>
      </c>
      <c r="G955" t="s">
        <v>7</v>
      </c>
      <c r="H955" t="s">
        <v>217</v>
      </c>
      <c r="I955" t="s">
        <v>217</v>
      </c>
      <c r="J955" t="s">
        <v>7</v>
      </c>
      <c r="K955" t="str">
        <f t="shared" si="14"/>
        <v>00210460</v>
      </c>
      <c r="L955">
        <v>11001000</v>
      </c>
      <c r="M955">
        <v>25754000</v>
      </c>
    </row>
    <row r="956" spans="1:13">
      <c r="A956" t="s">
        <v>147</v>
      </c>
      <c r="B956" t="s">
        <v>236</v>
      </c>
      <c r="C956" t="s">
        <v>137</v>
      </c>
      <c r="D956" t="s">
        <v>302</v>
      </c>
      <c r="E956" t="s">
        <v>237</v>
      </c>
      <c r="F956" t="s">
        <v>238</v>
      </c>
      <c r="G956" t="s">
        <v>7</v>
      </c>
      <c r="H956" t="s">
        <v>217</v>
      </c>
      <c r="I956" t="s">
        <v>217</v>
      </c>
      <c r="J956" t="s">
        <v>7</v>
      </c>
      <c r="K956" t="str">
        <f t="shared" si="14"/>
        <v>00220460</v>
      </c>
      <c r="L956">
        <v>25430000</v>
      </c>
      <c r="M956">
        <v>11001000</v>
      </c>
    </row>
    <row r="957" spans="1:13">
      <c r="A957" t="s">
        <v>118</v>
      </c>
      <c r="B957" t="s">
        <v>112</v>
      </c>
      <c r="C957" t="s">
        <v>137</v>
      </c>
      <c r="D957" t="s">
        <v>302</v>
      </c>
      <c r="E957" t="s">
        <v>237</v>
      </c>
      <c r="F957" t="s">
        <v>238</v>
      </c>
      <c r="G957" t="s">
        <v>7</v>
      </c>
      <c r="H957" t="s">
        <v>217</v>
      </c>
      <c r="I957" t="s">
        <v>217</v>
      </c>
      <c r="J957" t="s">
        <v>7</v>
      </c>
      <c r="K957" t="str">
        <f t="shared" si="14"/>
        <v>00790460</v>
      </c>
      <c r="L957">
        <v>5088000</v>
      </c>
      <c r="M957">
        <v>11001000</v>
      </c>
    </row>
    <row r="958" spans="1:13">
      <c r="A958" t="s">
        <v>124</v>
      </c>
      <c r="B958" t="s">
        <v>242</v>
      </c>
      <c r="C958" t="s">
        <v>137</v>
      </c>
      <c r="D958" t="s">
        <v>302</v>
      </c>
      <c r="E958" t="s">
        <v>237</v>
      </c>
      <c r="F958" t="s">
        <v>238</v>
      </c>
      <c r="G958" t="s">
        <v>7</v>
      </c>
      <c r="H958" t="s">
        <v>217</v>
      </c>
      <c r="I958" t="s">
        <v>217</v>
      </c>
      <c r="J958" t="s">
        <v>7</v>
      </c>
      <c r="K958" t="str">
        <f t="shared" si="14"/>
        <v>00920460</v>
      </c>
      <c r="L958">
        <v>5001000</v>
      </c>
      <c r="M958">
        <v>11001000</v>
      </c>
    </row>
    <row r="959" spans="1:13">
      <c r="A959" t="s">
        <v>140</v>
      </c>
      <c r="B959" t="s">
        <v>243</v>
      </c>
      <c r="C959" t="s">
        <v>137</v>
      </c>
      <c r="D959" t="s">
        <v>302</v>
      </c>
      <c r="E959" t="s">
        <v>237</v>
      </c>
      <c r="F959" t="s">
        <v>238</v>
      </c>
      <c r="G959" t="s">
        <v>7</v>
      </c>
      <c r="H959" t="s">
        <v>217</v>
      </c>
      <c r="I959" t="s">
        <v>217</v>
      </c>
      <c r="J959" t="s">
        <v>7</v>
      </c>
      <c r="K959" t="str">
        <f t="shared" si="14"/>
        <v>01130460</v>
      </c>
      <c r="L959">
        <v>13001000</v>
      </c>
      <c r="M959">
        <v>11001000</v>
      </c>
    </row>
    <row r="960" spans="1:13">
      <c r="A960" t="s">
        <v>130</v>
      </c>
      <c r="B960" t="s">
        <v>247</v>
      </c>
      <c r="C960" t="s">
        <v>137</v>
      </c>
      <c r="D960" t="s">
        <v>302</v>
      </c>
      <c r="E960" t="s">
        <v>237</v>
      </c>
      <c r="F960" t="s">
        <v>238</v>
      </c>
      <c r="G960" t="s">
        <v>7</v>
      </c>
      <c r="H960" t="s">
        <v>217</v>
      </c>
      <c r="I960" t="s">
        <v>217</v>
      </c>
      <c r="J960" t="s">
        <v>7</v>
      </c>
      <c r="K960" t="str">
        <f t="shared" si="14"/>
        <v>01340460</v>
      </c>
      <c r="L960">
        <v>66170000</v>
      </c>
      <c r="M960">
        <v>11001000</v>
      </c>
    </row>
    <row r="961" spans="1:13">
      <c r="A961" t="s">
        <v>141</v>
      </c>
      <c r="B961" t="s">
        <v>250</v>
      </c>
      <c r="C961" t="s">
        <v>137</v>
      </c>
      <c r="D961" t="s">
        <v>302</v>
      </c>
      <c r="E961" t="s">
        <v>237</v>
      </c>
      <c r="F961" t="s">
        <v>238</v>
      </c>
      <c r="G961" t="s">
        <v>7</v>
      </c>
      <c r="H961" t="s">
        <v>217</v>
      </c>
      <c r="I961" t="s">
        <v>217</v>
      </c>
      <c r="J961" t="s">
        <v>7</v>
      </c>
      <c r="K961" t="str">
        <f t="shared" si="14"/>
        <v>01980460</v>
      </c>
      <c r="L961">
        <v>66001000</v>
      </c>
      <c r="M961">
        <v>11001000</v>
      </c>
    </row>
    <row r="962" spans="1:13">
      <c r="A962" t="s">
        <v>117</v>
      </c>
      <c r="B962" t="s">
        <v>251</v>
      </c>
      <c r="C962" t="s">
        <v>137</v>
      </c>
      <c r="D962" t="s">
        <v>302</v>
      </c>
      <c r="E962" t="s">
        <v>237</v>
      </c>
      <c r="F962" t="s">
        <v>238</v>
      </c>
      <c r="G962" t="s">
        <v>7</v>
      </c>
      <c r="H962" t="s">
        <v>217</v>
      </c>
      <c r="I962" t="s">
        <v>217</v>
      </c>
      <c r="J962" t="s">
        <v>7</v>
      </c>
      <c r="K962" t="str">
        <f t="shared" si="14"/>
        <v>04100460</v>
      </c>
      <c r="L962">
        <v>76892000</v>
      </c>
      <c r="M962">
        <v>11001000</v>
      </c>
    </row>
    <row r="963" spans="1:13">
      <c r="A963" t="s">
        <v>119</v>
      </c>
      <c r="B963" t="s">
        <v>274</v>
      </c>
      <c r="C963" t="s">
        <v>137</v>
      </c>
      <c r="D963" t="s">
        <v>302</v>
      </c>
      <c r="E963" t="s">
        <v>237</v>
      </c>
      <c r="F963" t="s">
        <v>238</v>
      </c>
      <c r="G963" t="s">
        <v>7</v>
      </c>
      <c r="H963" t="s">
        <v>217</v>
      </c>
      <c r="I963" t="s">
        <v>217</v>
      </c>
      <c r="J963" t="s">
        <v>7</v>
      </c>
      <c r="K963" t="str">
        <f t="shared" ref="K963:K1026" si="15">A963&amp;C963</f>
        <v>01110460</v>
      </c>
      <c r="L963">
        <v>8433000</v>
      </c>
      <c r="M963">
        <v>11001000</v>
      </c>
    </row>
    <row r="964" spans="1:13">
      <c r="A964" t="s">
        <v>163</v>
      </c>
      <c r="B964" t="s">
        <v>275</v>
      </c>
      <c r="C964" t="s">
        <v>137</v>
      </c>
      <c r="D964" t="s">
        <v>302</v>
      </c>
      <c r="E964" t="s">
        <v>237</v>
      </c>
      <c r="F964" t="s">
        <v>238</v>
      </c>
      <c r="G964" t="s">
        <v>7</v>
      </c>
      <c r="H964" t="s">
        <v>217</v>
      </c>
      <c r="I964" t="s">
        <v>217</v>
      </c>
      <c r="J964" t="s">
        <v>7</v>
      </c>
      <c r="K964" t="str">
        <f t="shared" si="15"/>
        <v>00320460</v>
      </c>
      <c r="L964">
        <v>25899000</v>
      </c>
      <c r="M964">
        <v>11001000</v>
      </c>
    </row>
    <row r="965" spans="1:13">
      <c r="A965" t="s">
        <v>125</v>
      </c>
      <c r="B965" t="s">
        <v>277</v>
      </c>
      <c r="C965" t="s">
        <v>137</v>
      </c>
      <c r="D965" t="s">
        <v>302</v>
      </c>
      <c r="E965" t="s">
        <v>237</v>
      </c>
      <c r="F965" t="s">
        <v>238</v>
      </c>
      <c r="G965" t="s">
        <v>7</v>
      </c>
      <c r="H965" t="s">
        <v>217</v>
      </c>
      <c r="I965" t="s">
        <v>217</v>
      </c>
      <c r="J965" t="s">
        <v>7</v>
      </c>
      <c r="K965" t="str">
        <f t="shared" si="15"/>
        <v>04450460</v>
      </c>
      <c r="L965">
        <v>19142000</v>
      </c>
      <c r="M965">
        <v>11001000</v>
      </c>
    </row>
    <row r="966" spans="1:13">
      <c r="A966" t="s">
        <v>131</v>
      </c>
      <c r="B966" t="s">
        <v>278</v>
      </c>
      <c r="C966" t="s">
        <v>137</v>
      </c>
      <c r="D966" t="s">
        <v>302</v>
      </c>
      <c r="E966" t="s">
        <v>237</v>
      </c>
      <c r="F966" t="s">
        <v>238</v>
      </c>
      <c r="G966" t="s">
        <v>7</v>
      </c>
      <c r="H966" t="s">
        <v>217</v>
      </c>
      <c r="I966" t="s">
        <v>217</v>
      </c>
      <c r="J966" t="s">
        <v>7</v>
      </c>
      <c r="K966" t="str">
        <f t="shared" si="15"/>
        <v>00350460</v>
      </c>
      <c r="L966">
        <v>25799000</v>
      </c>
      <c r="M966">
        <v>11001000</v>
      </c>
    </row>
    <row r="967" spans="1:13">
      <c r="A967" t="s">
        <v>122</v>
      </c>
      <c r="B967" t="s">
        <v>289</v>
      </c>
      <c r="C967" t="s">
        <v>137</v>
      </c>
      <c r="D967" t="s">
        <v>302</v>
      </c>
      <c r="E967" t="s">
        <v>237</v>
      </c>
      <c r="F967" t="s">
        <v>238</v>
      </c>
      <c r="G967" t="s">
        <v>7</v>
      </c>
      <c r="H967" t="s">
        <v>217</v>
      </c>
      <c r="I967" t="s">
        <v>217</v>
      </c>
      <c r="J967" t="s">
        <v>7</v>
      </c>
      <c r="K967" t="str">
        <f t="shared" si="15"/>
        <v>03850460</v>
      </c>
      <c r="L967">
        <v>41001000</v>
      </c>
      <c r="M967">
        <v>11001000</v>
      </c>
    </row>
    <row r="968" spans="1:13">
      <c r="A968" t="s">
        <v>135</v>
      </c>
      <c r="B968" t="s">
        <v>290</v>
      </c>
      <c r="C968" t="s">
        <v>137</v>
      </c>
      <c r="D968" t="s">
        <v>302</v>
      </c>
      <c r="E968" t="s">
        <v>237</v>
      </c>
      <c r="F968" t="s">
        <v>238</v>
      </c>
      <c r="G968" t="s">
        <v>7</v>
      </c>
      <c r="H968" t="s">
        <v>217</v>
      </c>
      <c r="I968" t="s">
        <v>217</v>
      </c>
      <c r="J968" t="s">
        <v>7</v>
      </c>
      <c r="K968" t="str">
        <f t="shared" si="15"/>
        <v>03930460</v>
      </c>
      <c r="L968">
        <v>50001000</v>
      </c>
      <c r="M968">
        <v>11001000</v>
      </c>
    </row>
    <row r="969" spans="1:13">
      <c r="A969" t="s">
        <v>120</v>
      </c>
      <c r="B969" t="s">
        <v>292</v>
      </c>
      <c r="C969" t="s">
        <v>137</v>
      </c>
      <c r="D969" t="s">
        <v>302</v>
      </c>
      <c r="E969" t="s">
        <v>237</v>
      </c>
      <c r="F969" t="s">
        <v>238</v>
      </c>
      <c r="G969" t="s">
        <v>7</v>
      </c>
      <c r="H969" t="s">
        <v>217</v>
      </c>
      <c r="I969" t="s">
        <v>217</v>
      </c>
      <c r="J969" t="s">
        <v>7</v>
      </c>
      <c r="K969" t="str">
        <f t="shared" si="15"/>
        <v>04220460</v>
      </c>
      <c r="L969">
        <v>68547000</v>
      </c>
      <c r="M969">
        <v>11001000</v>
      </c>
    </row>
    <row r="970" spans="1:13">
      <c r="A970" t="s">
        <v>132</v>
      </c>
      <c r="B970" t="s">
        <v>255</v>
      </c>
      <c r="C970" t="s">
        <v>137</v>
      </c>
      <c r="D970" t="s">
        <v>302</v>
      </c>
      <c r="E970" t="s">
        <v>237</v>
      </c>
      <c r="F970" t="s">
        <v>238</v>
      </c>
      <c r="G970" t="s">
        <v>7</v>
      </c>
      <c r="H970" t="s">
        <v>217</v>
      </c>
      <c r="I970" t="s">
        <v>217</v>
      </c>
      <c r="J970" t="s">
        <v>7</v>
      </c>
      <c r="K970" t="str">
        <f t="shared" si="15"/>
        <v>04410460</v>
      </c>
      <c r="L970">
        <v>15238000</v>
      </c>
      <c r="M970">
        <v>11001000</v>
      </c>
    </row>
    <row r="971" spans="1:13">
      <c r="A971" t="s">
        <v>116</v>
      </c>
      <c r="B971" t="s">
        <v>235</v>
      </c>
      <c r="C971" t="s">
        <v>128</v>
      </c>
      <c r="D971" t="s">
        <v>301</v>
      </c>
      <c r="E971" t="s">
        <v>237</v>
      </c>
      <c r="F971" t="s">
        <v>238</v>
      </c>
      <c r="G971" t="s">
        <v>7</v>
      </c>
      <c r="H971" t="s">
        <v>217</v>
      </c>
      <c r="I971" t="s">
        <v>217</v>
      </c>
      <c r="J971" t="s">
        <v>7</v>
      </c>
      <c r="K971" t="str">
        <f t="shared" si="15"/>
        <v>00210461</v>
      </c>
      <c r="L971">
        <v>11001000</v>
      </c>
      <c r="M971">
        <v>25754000</v>
      </c>
    </row>
    <row r="972" spans="1:13">
      <c r="A972" t="s">
        <v>118</v>
      </c>
      <c r="B972" t="s">
        <v>112</v>
      </c>
      <c r="C972" t="s">
        <v>128</v>
      </c>
      <c r="D972" t="s">
        <v>301</v>
      </c>
      <c r="E972" t="s">
        <v>237</v>
      </c>
      <c r="F972" t="s">
        <v>238</v>
      </c>
      <c r="G972" t="s">
        <v>7</v>
      </c>
      <c r="H972" t="s">
        <v>217</v>
      </c>
      <c r="I972" t="s">
        <v>217</v>
      </c>
      <c r="J972" t="s">
        <v>7</v>
      </c>
      <c r="K972" t="str">
        <f t="shared" si="15"/>
        <v>00790461</v>
      </c>
      <c r="L972">
        <v>5088000</v>
      </c>
      <c r="M972">
        <v>11001000</v>
      </c>
    </row>
    <row r="973" spans="1:13">
      <c r="A973" t="s">
        <v>124</v>
      </c>
      <c r="B973" t="s">
        <v>242</v>
      </c>
      <c r="C973" t="s">
        <v>128</v>
      </c>
      <c r="D973" t="s">
        <v>301</v>
      </c>
      <c r="E973" t="s">
        <v>237</v>
      </c>
      <c r="F973" t="s">
        <v>238</v>
      </c>
      <c r="G973" t="s">
        <v>7</v>
      </c>
      <c r="H973" t="s">
        <v>217</v>
      </c>
      <c r="I973" t="s">
        <v>217</v>
      </c>
      <c r="J973" t="s">
        <v>7</v>
      </c>
      <c r="K973" t="str">
        <f t="shared" si="15"/>
        <v>00920461</v>
      </c>
      <c r="L973">
        <v>5001000</v>
      </c>
      <c r="M973">
        <v>11001000</v>
      </c>
    </row>
    <row r="974" spans="1:13">
      <c r="A974" t="s">
        <v>140</v>
      </c>
      <c r="B974" t="s">
        <v>243</v>
      </c>
      <c r="C974" t="s">
        <v>128</v>
      </c>
      <c r="D974" t="s">
        <v>301</v>
      </c>
      <c r="E974" t="s">
        <v>237</v>
      </c>
      <c r="F974" t="s">
        <v>238</v>
      </c>
      <c r="G974" t="s">
        <v>7</v>
      </c>
      <c r="H974" t="s">
        <v>217</v>
      </c>
      <c r="I974" t="s">
        <v>217</v>
      </c>
      <c r="J974" t="s">
        <v>7</v>
      </c>
      <c r="K974" t="str">
        <f t="shared" si="15"/>
        <v>01130461</v>
      </c>
      <c r="L974">
        <v>13001000</v>
      </c>
      <c r="M974">
        <v>11001000</v>
      </c>
    </row>
    <row r="975" spans="1:13">
      <c r="A975" t="s">
        <v>156</v>
      </c>
      <c r="B975" t="s">
        <v>244</v>
      </c>
      <c r="C975" t="s">
        <v>128</v>
      </c>
      <c r="D975" t="s">
        <v>301</v>
      </c>
      <c r="E975" t="s">
        <v>237</v>
      </c>
      <c r="F975" t="s">
        <v>238</v>
      </c>
      <c r="G975" t="s">
        <v>7</v>
      </c>
      <c r="H975" t="s">
        <v>217</v>
      </c>
      <c r="I975" t="s">
        <v>217</v>
      </c>
      <c r="J975" t="s">
        <v>7</v>
      </c>
      <c r="K975" t="str">
        <f t="shared" si="15"/>
        <v>01180461</v>
      </c>
      <c r="L975">
        <v>47001000</v>
      </c>
      <c r="M975">
        <v>11001000</v>
      </c>
    </row>
    <row r="976" spans="1:13">
      <c r="A976" t="s">
        <v>130</v>
      </c>
      <c r="B976" t="s">
        <v>247</v>
      </c>
      <c r="C976" t="s">
        <v>128</v>
      </c>
      <c r="D976" t="s">
        <v>301</v>
      </c>
      <c r="E976" t="s">
        <v>237</v>
      </c>
      <c r="F976" t="s">
        <v>238</v>
      </c>
      <c r="G976" t="s">
        <v>7</v>
      </c>
      <c r="H976" t="s">
        <v>217</v>
      </c>
      <c r="I976" t="s">
        <v>217</v>
      </c>
      <c r="J976" t="s">
        <v>7</v>
      </c>
      <c r="K976" t="str">
        <f t="shared" si="15"/>
        <v>01340461</v>
      </c>
      <c r="L976">
        <v>66170000</v>
      </c>
      <c r="M976">
        <v>11001000</v>
      </c>
    </row>
    <row r="977" spans="1:13">
      <c r="A977" t="s">
        <v>141</v>
      </c>
      <c r="B977" t="s">
        <v>250</v>
      </c>
      <c r="C977" t="s">
        <v>128</v>
      </c>
      <c r="D977" t="s">
        <v>301</v>
      </c>
      <c r="E977" t="s">
        <v>237</v>
      </c>
      <c r="F977" t="s">
        <v>238</v>
      </c>
      <c r="G977" t="s">
        <v>7</v>
      </c>
      <c r="H977" t="s">
        <v>217</v>
      </c>
      <c r="I977" t="s">
        <v>217</v>
      </c>
      <c r="J977" t="s">
        <v>7</v>
      </c>
      <c r="K977" t="str">
        <f t="shared" si="15"/>
        <v>01980461</v>
      </c>
      <c r="L977">
        <v>66001000</v>
      </c>
      <c r="M977">
        <v>11001000</v>
      </c>
    </row>
    <row r="978" spans="1:13">
      <c r="A978" t="s">
        <v>117</v>
      </c>
      <c r="B978" t="s">
        <v>251</v>
      </c>
      <c r="C978" t="s">
        <v>128</v>
      </c>
      <c r="D978" t="s">
        <v>301</v>
      </c>
      <c r="E978" t="s">
        <v>237</v>
      </c>
      <c r="F978" t="s">
        <v>238</v>
      </c>
      <c r="G978" t="s">
        <v>7</v>
      </c>
      <c r="H978" t="s">
        <v>217</v>
      </c>
      <c r="I978" t="s">
        <v>217</v>
      </c>
      <c r="J978" t="s">
        <v>7</v>
      </c>
      <c r="K978" t="str">
        <f t="shared" si="15"/>
        <v>04100461</v>
      </c>
      <c r="L978">
        <v>76892000</v>
      </c>
      <c r="M978">
        <v>11001000</v>
      </c>
    </row>
    <row r="979" spans="1:13">
      <c r="A979" t="s">
        <v>119</v>
      </c>
      <c r="B979" t="s">
        <v>274</v>
      </c>
      <c r="C979" t="s">
        <v>128</v>
      </c>
      <c r="D979" t="s">
        <v>301</v>
      </c>
      <c r="E979" t="s">
        <v>237</v>
      </c>
      <c r="F979" t="s">
        <v>238</v>
      </c>
      <c r="G979" t="s">
        <v>7</v>
      </c>
      <c r="H979" t="s">
        <v>217</v>
      </c>
      <c r="I979" t="s">
        <v>217</v>
      </c>
      <c r="J979" t="s">
        <v>7</v>
      </c>
      <c r="K979" t="str">
        <f t="shared" si="15"/>
        <v>01110461</v>
      </c>
      <c r="L979">
        <v>8433000</v>
      </c>
      <c r="M979">
        <v>11001000</v>
      </c>
    </row>
    <row r="980" spans="1:13">
      <c r="A980" t="s">
        <v>125</v>
      </c>
      <c r="B980" t="s">
        <v>277</v>
      </c>
      <c r="C980" t="s">
        <v>128</v>
      </c>
      <c r="D980" t="s">
        <v>301</v>
      </c>
      <c r="E980" t="s">
        <v>237</v>
      </c>
      <c r="F980" t="s">
        <v>238</v>
      </c>
      <c r="G980" t="s">
        <v>7</v>
      </c>
      <c r="H980" t="s">
        <v>217</v>
      </c>
      <c r="I980" t="s">
        <v>217</v>
      </c>
      <c r="J980" t="s">
        <v>7</v>
      </c>
      <c r="K980" t="str">
        <f t="shared" si="15"/>
        <v>04450461</v>
      </c>
      <c r="L980">
        <v>19142000</v>
      </c>
      <c r="M980">
        <v>11001000</v>
      </c>
    </row>
    <row r="981" spans="1:13">
      <c r="A981" t="s">
        <v>135</v>
      </c>
      <c r="B981" t="s">
        <v>290</v>
      </c>
      <c r="C981" t="s">
        <v>128</v>
      </c>
      <c r="D981" t="s">
        <v>301</v>
      </c>
      <c r="E981" t="s">
        <v>237</v>
      </c>
      <c r="F981" t="s">
        <v>238</v>
      </c>
      <c r="G981" t="s">
        <v>7</v>
      </c>
      <c r="H981" t="s">
        <v>217</v>
      </c>
      <c r="I981" t="s">
        <v>217</v>
      </c>
      <c r="J981" t="s">
        <v>7</v>
      </c>
      <c r="K981" t="str">
        <f t="shared" si="15"/>
        <v>03930461</v>
      </c>
      <c r="L981">
        <v>50001000</v>
      </c>
      <c r="M981">
        <v>11001000</v>
      </c>
    </row>
    <row r="982" spans="1:13">
      <c r="A982" t="s">
        <v>120</v>
      </c>
      <c r="B982" t="s">
        <v>292</v>
      </c>
      <c r="C982" t="s">
        <v>128</v>
      </c>
      <c r="D982" t="s">
        <v>301</v>
      </c>
      <c r="E982" t="s">
        <v>237</v>
      </c>
      <c r="F982" t="s">
        <v>238</v>
      </c>
      <c r="G982" t="s">
        <v>7</v>
      </c>
      <c r="H982" t="s">
        <v>217</v>
      </c>
      <c r="I982" t="s">
        <v>217</v>
      </c>
      <c r="J982" t="s">
        <v>7</v>
      </c>
      <c r="K982" t="str">
        <f t="shared" si="15"/>
        <v>04220461</v>
      </c>
      <c r="L982">
        <v>68547000</v>
      </c>
      <c r="M982">
        <v>11001000</v>
      </c>
    </row>
    <row r="983" spans="1:13">
      <c r="A983" t="s">
        <v>121</v>
      </c>
      <c r="B983" t="s">
        <v>282</v>
      </c>
      <c r="C983" t="s">
        <v>128</v>
      </c>
      <c r="D983" t="s">
        <v>301</v>
      </c>
      <c r="E983" t="s">
        <v>237</v>
      </c>
      <c r="F983" t="s">
        <v>238</v>
      </c>
      <c r="G983" t="s">
        <v>7</v>
      </c>
      <c r="H983" t="s">
        <v>217</v>
      </c>
      <c r="I983" t="s">
        <v>217</v>
      </c>
      <c r="J983" t="s">
        <v>7</v>
      </c>
      <c r="K983" t="str">
        <f t="shared" si="15"/>
        <v>04380461</v>
      </c>
      <c r="L983">
        <v>54001000</v>
      </c>
      <c r="M983">
        <v>11001000</v>
      </c>
    </row>
    <row r="984" spans="1:13">
      <c r="A984" t="s">
        <v>132</v>
      </c>
      <c r="B984" t="s">
        <v>255</v>
      </c>
      <c r="C984" t="s">
        <v>128</v>
      </c>
      <c r="D984" t="s">
        <v>301</v>
      </c>
      <c r="E984" t="s">
        <v>237</v>
      </c>
      <c r="F984" t="s">
        <v>238</v>
      </c>
      <c r="G984" t="s">
        <v>7</v>
      </c>
      <c r="H984" t="s">
        <v>217</v>
      </c>
      <c r="I984" t="s">
        <v>217</v>
      </c>
      <c r="J984" t="s">
        <v>7</v>
      </c>
      <c r="K984" t="str">
        <f t="shared" si="15"/>
        <v>04410461</v>
      </c>
      <c r="L984">
        <v>15238000</v>
      </c>
      <c r="M984">
        <v>11001000</v>
      </c>
    </row>
    <row r="985" spans="1:13">
      <c r="A985" t="s">
        <v>149</v>
      </c>
      <c r="B985" t="s">
        <v>286</v>
      </c>
      <c r="C985" t="s">
        <v>128</v>
      </c>
      <c r="D985" t="s">
        <v>301</v>
      </c>
      <c r="E985" t="s">
        <v>237</v>
      </c>
      <c r="F985" t="s">
        <v>238</v>
      </c>
      <c r="G985" t="s">
        <v>7</v>
      </c>
      <c r="H985" t="s">
        <v>217</v>
      </c>
      <c r="I985" t="s">
        <v>217</v>
      </c>
      <c r="J985" t="s">
        <v>7</v>
      </c>
      <c r="K985" t="str">
        <f t="shared" si="15"/>
        <v>04470461</v>
      </c>
      <c r="L985">
        <v>20001000</v>
      </c>
      <c r="M985">
        <v>11001000</v>
      </c>
    </row>
    <row r="986" spans="1:13">
      <c r="A986" t="s">
        <v>118</v>
      </c>
      <c r="B986" t="s">
        <v>112</v>
      </c>
      <c r="C986" t="s">
        <v>183</v>
      </c>
      <c r="D986" t="s">
        <v>303</v>
      </c>
      <c r="E986" t="s">
        <v>237</v>
      </c>
      <c r="F986" t="s">
        <v>238</v>
      </c>
      <c r="G986" t="s">
        <v>7</v>
      </c>
      <c r="H986" t="s">
        <v>217</v>
      </c>
      <c r="I986" t="s">
        <v>217</v>
      </c>
      <c r="J986" t="s">
        <v>7</v>
      </c>
      <c r="K986" t="str">
        <f t="shared" si="15"/>
        <v>00790462</v>
      </c>
      <c r="L986">
        <v>5088000</v>
      </c>
      <c r="M986">
        <v>11001000</v>
      </c>
    </row>
    <row r="987" spans="1:13">
      <c r="A987" t="s">
        <v>124</v>
      </c>
      <c r="B987" t="s">
        <v>242</v>
      </c>
      <c r="C987" t="s">
        <v>183</v>
      </c>
      <c r="D987" t="s">
        <v>303</v>
      </c>
      <c r="E987" t="s">
        <v>237</v>
      </c>
      <c r="F987" t="s">
        <v>238</v>
      </c>
      <c r="G987" t="s">
        <v>7</v>
      </c>
      <c r="H987" t="s">
        <v>217</v>
      </c>
      <c r="I987" t="s">
        <v>217</v>
      </c>
      <c r="J987" t="s">
        <v>7</v>
      </c>
      <c r="K987" t="str">
        <f t="shared" si="15"/>
        <v>00920462</v>
      </c>
      <c r="L987">
        <v>5001000</v>
      </c>
      <c r="M987">
        <v>11001000</v>
      </c>
    </row>
    <row r="988" spans="1:13">
      <c r="A988" t="s">
        <v>141</v>
      </c>
      <c r="B988" t="s">
        <v>250</v>
      </c>
      <c r="C988" t="s">
        <v>183</v>
      </c>
      <c r="D988" t="s">
        <v>303</v>
      </c>
      <c r="E988" t="s">
        <v>237</v>
      </c>
      <c r="F988" t="s">
        <v>238</v>
      </c>
      <c r="G988" t="s">
        <v>7</v>
      </c>
      <c r="H988" t="s">
        <v>217</v>
      </c>
      <c r="I988" t="s">
        <v>217</v>
      </c>
      <c r="J988" t="s">
        <v>7</v>
      </c>
      <c r="K988" t="str">
        <f t="shared" si="15"/>
        <v>01980462</v>
      </c>
      <c r="L988">
        <v>66001000</v>
      </c>
      <c r="M988">
        <v>11001000</v>
      </c>
    </row>
    <row r="989" spans="1:13">
      <c r="A989" t="s">
        <v>117</v>
      </c>
      <c r="B989" t="s">
        <v>251</v>
      </c>
      <c r="C989" t="s">
        <v>183</v>
      </c>
      <c r="D989" t="s">
        <v>303</v>
      </c>
      <c r="E989" t="s">
        <v>237</v>
      </c>
      <c r="F989" t="s">
        <v>238</v>
      </c>
      <c r="G989" t="s">
        <v>7</v>
      </c>
      <c r="H989" t="s">
        <v>217</v>
      </c>
      <c r="I989" t="s">
        <v>217</v>
      </c>
      <c r="J989" t="s">
        <v>7</v>
      </c>
      <c r="K989" t="str">
        <f t="shared" si="15"/>
        <v>04100462</v>
      </c>
      <c r="L989">
        <v>76892000</v>
      </c>
      <c r="M989">
        <v>11001000</v>
      </c>
    </row>
    <row r="990" spans="1:13">
      <c r="A990" t="s">
        <v>119</v>
      </c>
      <c r="B990" t="s">
        <v>274</v>
      </c>
      <c r="C990" t="s">
        <v>183</v>
      </c>
      <c r="D990" t="s">
        <v>303</v>
      </c>
      <c r="E990" t="s">
        <v>237</v>
      </c>
      <c r="F990" t="s">
        <v>238</v>
      </c>
      <c r="G990" t="s">
        <v>7</v>
      </c>
      <c r="H990" t="s">
        <v>217</v>
      </c>
      <c r="I990" t="s">
        <v>217</v>
      </c>
      <c r="J990" t="s">
        <v>7</v>
      </c>
      <c r="K990" t="str">
        <f t="shared" si="15"/>
        <v>01110462</v>
      </c>
      <c r="L990">
        <v>8433000</v>
      </c>
      <c r="M990">
        <v>11001000</v>
      </c>
    </row>
    <row r="991" spans="1:13">
      <c r="A991" t="s">
        <v>116</v>
      </c>
      <c r="B991" t="s">
        <v>235</v>
      </c>
      <c r="C991" t="s">
        <v>183</v>
      </c>
      <c r="D991" t="s">
        <v>303</v>
      </c>
      <c r="E991" t="s">
        <v>237</v>
      </c>
      <c r="F991" t="s">
        <v>238</v>
      </c>
      <c r="G991" t="s">
        <v>7</v>
      </c>
      <c r="H991" t="s">
        <v>217</v>
      </c>
      <c r="I991" t="s">
        <v>217</v>
      </c>
      <c r="J991" t="s">
        <v>7</v>
      </c>
      <c r="K991" t="str">
        <f t="shared" si="15"/>
        <v>00210462</v>
      </c>
      <c r="L991">
        <v>11001000</v>
      </c>
      <c r="M991">
        <v>25151000</v>
      </c>
    </row>
    <row r="992" spans="1:13">
      <c r="A992" t="s">
        <v>125</v>
      </c>
      <c r="B992" t="s">
        <v>277</v>
      </c>
      <c r="C992" t="s">
        <v>183</v>
      </c>
      <c r="D992" t="s">
        <v>303</v>
      </c>
      <c r="E992" t="s">
        <v>237</v>
      </c>
      <c r="F992" t="s">
        <v>238</v>
      </c>
      <c r="G992" t="s">
        <v>7</v>
      </c>
      <c r="H992" t="s">
        <v>217</v>
      </c>
      <c r="I992" t="s">
        <v>217</v>
      </c>
      <c r="J992" t="s">
        <v>7</v>
      </c>
      <c r="K992" t="str">
        <f t="shared" si="15"/>
        <v>04450462</v>
      </c>
      <c r="L992">
        <v>19142000</v>
      </c>
      <c r="M992">
        <v>11001000</v>
      </c>
    </row>
    <row r="993" spans="1:13">
      <c r="A993" t="s">
        <v>131</v>
      </c>
      <c r="B993" t="s">
        <v>278</v>
      </c>
      <c r="C993" t="s">
        <v>183</v>
      </c>
      <c r="D993" t="s">
        <v>303</v>
      </c>
      <c r="E993" t="s">
        <v>237</v>
      </c>
      <c r="F993" t="s">
        <v>238</v>
      </c>
      <c r="G993" t="s">
        <v>7</v>
      </c>
      <c r="H993" t="s">
        <v>217</v>
      </c>
      <c r="I993" t="s">
        <v>217</v>
      </c>
      <c r="J993" t="s">
        <v>7</v>
      </c>
      <c r="K993" t="str">
        <f t="shared" si="15"/>
        <v>00350462</v>
      </c>
      <c r="L993">
        <v>25799000</v>
      </c>
      <c r="M993">
        <v>11001000</v>
      </c>
    </row>
    <row r="994" spans="1:13">
      <c r="A994" t="s">
        <v>120</v>
      </c>
      <c r="B994" t="s">
        <v>292</v>
      </c>
      <c r="C994" t="s">
        <v>183</v>
      </c>
      <c r="D994" t="s">
        <v>303</v>
      </c>
      <c r="E994" t="s">
        <v>237</v>
      </c>
      <c r="F994" t="s">
        <v>238</v>
      </c>
      <c r="G994" t="s">
        <v>7</v>
      </c>
      <c r="H994" t="s">
        <v>217</v>
      </c>
      <c r="I994" t="s">
        <v>217</v>
      </c>
      <c r="J994" t="s">
        <v>7</v>
      </c>
      <c r="K994" t="str">
        <f t="shared" si="15"/>
        <v>04220462</v>
      </c>
      <c r="L994">
        <v>68547000</v>
      </c>
      <c r="M994">
        <v>11001000</v>
      </c>
    </row>
    <row r="995" spans="1:13">
      <c r="A995" t="s">
        <v>132</v>
      </c>
      <c r="B995" t="s">
        <v>255</v>
      </c>
      <c r="C995" t="s">
        <v>183</v>
      </c>
      <c r="D995" t="s">
        <v>303</v>
      </c>
      <c r="E995" t="s">
        <v>237</v>
      </c>
      <c r="F995" t="s">
        <v>238</v>
      </c>
      <c r="G995" t="s">
        <v>7</v>
      </c>
      <c r="H995" t="s">
        <v>217</v>
      </c>
      <c r="I995" t="s">
        <v>217</v>
      </c>
      <c r="J995" t="s">
        <v>7</v>
      </c>
      <c r="K995" t="str">
        <f t="shared" si="15"/>
        <v>04410462</v>
      </c>
      <c r="L995">
        <v>15238000</v>
      </c>
      <c r="M995">
        <v>11001000</v>
      </c>
    </row>
    <row r="996" spans="1:13">
      <c r="A996" t="s">
        <v>116</v>
      </c>
      <c r="B996" t="s">
        <v>235</v>
      </c>
      <c r="C996" t="s">
        <v>179</v>
      </c>
      <c r="D996" t="s">
        <v>304</v>
      </c>
      <c r="E996" t="s">
        <v>237</v>
      </c>
      <c r="F996" t="s">
        <v>238</v>
      </c>
      <c r="G996" t="s">
        <v>7</v>
      </c>
      <c r="H996" t="s">
        <v>217</v>
      </c>
      <c r="I996" t="s">
        <v>217</v>
      </c>
      <c r="J996" t="s">
        <v>7</v>
      </c>
      <c r="K996" t="str">
        <f t="shared" si="15"/>
        <v>00210463</v>
      </c>
      <c r="L996">
        <v>11001000</v>
      </c>
      <c r="M996">
        <v>25290000</v>
      </c>
    </row>
    <row r="997" spans="1:13">
      <c r="A997" t="s">
        <v>118</v>
      </c>
      <c r="B997" t="s">
        <v>112</v>
      </c>
      <c r="C997" t="s">
        <v>179</v>
      </c>
      <c r="D997" t="s">
        <v>304</v>
      </c>
      <c r="E997" t="s">
        <v>237</v>
      </c>
      <c r="F997" t="s">
        <v>238</v>
      </c>
      <c r="G997" t="s">
        <v>7</v>
      </c>
      <c r="H997" t="s">
        <v>217</v>
      </c>
      <c r="I997" t="s">
        <v>217</v>
      </c>
      <c r="J997" t="s">
        <v>7</v>
      </c>
      <c r="K997" t="str">
        <f t="shared" si="15"/>
        <v>00790463</v>
      </c>
      <c r="L997">
        <v>5088000</v>
      </c>
      <c r="M997">
        <v>11001000</v>
      </c>
    </row>
    <row r="998" spans="1:13">
      <c r="A998" t="s">
        <v>124</v>
      </c>
      <c r="B998" t="s">
        <v>242</v>
      </c>
      <c r="C998" t="s">
        <v>179</v>
      </c>
      <c r="D998" t="s">
        <v>304</v>
      </c>
      <c r="E998" t="s">
        <v>237</v>
      </c>
      <c r="F998" t="s">
        <v>238</v>
      </c>
      <c r="G998" t="s">
        <v>7</v>
      </c>
      <c r="H998" t="s">
        <v>217</v>
      </c>
      <c r="I998" t="s">
        <v>217</v>
      </c>
      <c r="J998" t="s">
        <v>7</v>
      </c>
      <c r="K998" t="str">
        <f t="shared" si="15"/>
        <v>00920463</v>
      </c>
      <c r="L998">
        <v>5001000</v>
      </c>
      <c r="M998">
        <v>11001000</v>
      </c>
    </row>
    <row r="999" spans="1:13">
      <c r="A999" t="s">
        <v>141</v>
      </c>
      <c r="B999" t="s">
        <v>250</v>
      </c>
      <c r="C999" t="s">
        <v>179</v>
      </c>
      <c r="D999" t="s">
        <v>304</v>
      </c>
      <c r="E999" t="s">
        <v>237</v>
      </c>
      <c r="F999" t="s">
        <v>238</v>
      </c>
      <c r="G999" t="s">
        <v>7</v>
      </c>
      <c r="H999" t="s">
        <v>217</v>
      </c>
      <c r="I999" t="s">
        <v>217</v>
      </c>
      <c r="J999" t="s">
        <v>7</v>
      </c>
      <c r="K999" t="str">
        <f t="shared" si="15"/>
        <v>01980463</v>
      </c>
      <c r="L999">
        <v>66001000</v>
      </c>
      <c r="M999">
        <v>11001000</v>
      </c>
    </row>
    <row r="1000" spans="1:13">
      <c r="A1000" t="s">
        <v>119</v>
      </c>
      <c r="B1000" t="s">
        <v>274</v>
      </c>
      <c r="C1000" t="s">
        <v>179</v>
      </c>
      <c r="D1000" t="s">
        <v>304</v>
      </c>
      <c r="E1000" t="s">
        <v>237</v>
      </c>
      <c r="F1000" t="s">
        <v>238</v>
      </c>
      <c r="G1000" t="s">
        <v>7</v>
      </c>
      <c r="H1000" t="s">
        <v>217</v>
      </c>
      <c r="I1000" t="s">
        <v>217</v>
      </c>
      <c r="J1000" t="s">
        <v>7</v>
      </c>
      <c r="K1000" t="str">
        <f t="shared" si="15"/>
        <v>01110463</v>
      </c>
      <c r="L1000">
        <v>8433000</v>
      </c>
      <c r="M1000">
        <v>11001000</v>
      </c>
    </row>
    <row r="1001" spans="1:13">
      <c r="A1001" t="s">
        <v>125</v>
      </c>
      <c r="B1001" t="s">
        <v>277</v>
      </c>
      <c r="C1001" t="s">
        <v>179</v>
      </c>
      <c r="D1001" t="s">
        <v>304</v>
      </c>
      <c r="E1001" t="s">
        <v>237</v>
      </c>
      <c r="F1001" t="s">
        <v>238</v>
      </c>
      <c r="G1001" t="s">
        <v>7</v>
      </c>
      <c r="H1001" t="s">
        <v>217</v>
      </c>
      <c r="I1001" t="s">
        <v>217</v>
      </c>
      <c r="J1001" t="s">
        <v>7</v>
      </c>
      <c r="K1001" t="str">
        <f t="shared" si="15"/>
        <v>04450463</v>
      </c>
      <c r="L1001">
        <v>19142000</v>
      </c>
      <c r="M1001">
        <v>11001000</v>
      </c>
    </row>
    <row r="1002" spans="1:13">
      <c r="A1002" t="s">
        <v>131</v>
      </c>
      <c r="B1002" t="s">
        <v>278</v>
      </c>
      <c r="C1002" t="s">
        <v>179</v>
      </c>
      <c r="D1002" t="s">
        <v>304</v>
      </c>
      <c r="E1002" t="s">
        <v>237</v>
      </c>
      <c r="F1002" t="s">
        <v>238</v>
      </c>
      <c r="G1002" t="s">
        <v>7</v>
      </c>
      <c r="H1002" t="s">
        <v>217</v>
      </c>
      <c r="I1002" t="s">
        <v>217</v>
      </c>
      <c r="J1002" t="s">
        <v>7</v>
      </c>
      <c r="K1002" t="str">
        <f t="shared" si="15"/>
        <v>00350463</v>
      </c>
      <c r="L1002">
        <v>25799000</v>
      </c>
      <c r="M1002">
        <v>11001000</v>
      </c>
    </row>
    <row r="1003" spans="1:13">
      <c r="A1003" t="s">
        <v>135</v>
      </c>
      <c r="B1003" t="s">
        <v>290</v>
      </c>
      <c r="C1003" t="s">
        <v>179</v>
      </c>
      <c r="D1003" t="s">
        <v>304</v>
      </c>
      <c r="E1003" t="s">
        <v>237</v>
      </c>
      <c r="F1003" t="s">
        <v>238</v>
      </c>
      <c r="G1003" t="s">
        <v>7</v>
      </c>
      <c r="H1003" t="s">
        <v>217</v>
      </c>
      <c r="I1003" t="s">
        <v>217</v>
      </c>
      <c r="J1003" t="s">
        <v>7</v>
      </c>
      <c r="K1003" t="str">
        <f t="shared" si="15"/>
        <v>03930463</v>
      </c>
      <c r="L1003">
        <v>50001000</v>
      </c>
      <c r="M1003">
        <v>11001000</v>
      </c>
    </row>
    <row r="1004" spans="1:13">
      <c r="A1004" t="s">
        <v>120</v>
      </c>
      <c r="B1004" t="s">
        <v>292</v>
      </c>
      <c r="C1004" t="s">
        <v>179</v>
      </c>
      <c r="D1004" t="s">
        <v>304</v>
      </c>
      <c r="E1004" t="s">
        <v>237</v>
      </c>
      <c r="F1004" t="s">
        <v>238</v>
      </c>
      <c r="G1004" t="s">
        <v>7</v>
      </c>
      <c r="H1004" t="s">
        <v>217</v>
      </c>
      <c r="I1004" t="s">
        <v>217</v>
      </c>
      <c r="J1004" t="s">
        <v>7</v>
      </c>
      <c r="K1004" t="str">
        <f t="shared" si="15"/>
        <v>04220463</v>
      </c>
      <c r="L1004">
        <v>68547000</v>
      </c>
      <c r="M1004">
        <v>11001000</v>
      </c>
    </row>
    <row r="1005" spans="1:13">
      <c r="A1005" t="s">
        <v>132</v>
      </c>
      <c r="B1005" t="s">
        <v>255</v>
      </c>
      <c r="C1005" t="s">
        <v>179</v>
      </c>
      <c r="D1005" t="s">
        <v>304</v>
      </c>
      <c r="E1005" t="s">
        <v>237</v>
      </c>
      <c r="F1005" t="s">
        <v>238</v>
      </c>
      <c r="G1005" t="s">
        <v>7</v>
      </c>
      <c r="H1005" t="s">
        <v>217</v>
      </c>
      <c r="I1005" t="s">
        <v>217</v>
      </c>
      <c r="J1005" t="s">
        <v>7</v>
      </c>
      <c r="K1005" t="str">
        <f t="shared" si="15"/>
        <v>04410463</v>
      </c>
      <c r="L1005">
        <v>15238000</v>
      </c>
      <c r="M1005">
        <v>11001000</v>
      </c>
    </row>
    <row r="1006" spans="1:13">
      <c r="A1006" t="s">
        <v>132</v>
      </c>
      <c r="B1006" t="s">
        <v>255</v>
      </c>
      <c r="C1006" t="s">
        <v>142</v>
      </c>
      <c r="D1006" t="s">
        <v>305</v>
      </c>
      <c r="E1006" t="s">
        <v>237</v>
      </c>
      <c r="F1006" t="s">
        <v>238</v>
      </c>
      <c r="G1006" t="s">
        <v>7</v>
      </c>
      <c r="H1006" t="s">
        <v>217</v>
      </c>
      <c r="I1006" t="s">
        <v>217</v>
      </c>
      <c r="J1006" t="s">
        <v>7</v>
      </c>
      <c r="K1006" t="str">
        <f t="shared" si="15"/>
        <v>04410043</v>
      </c>
      <c r="L1006">
        <v>15238000</v>
      </c>
      <c r="M1006">
        <v>5001000</v>
      </c>
    </row>
    <row r="1007" spans="1:13">
      <c r="A1007" t="s">
        <v>142</v>
      </c>
      <c r="B1007" t="s">
        <v>305</v>
      </c>
      <c r="C1007" t="s">
        <v>116</v>
      </c>
      <c r="D1007" t="s">
        <v>235</v>
      </c>
      <c r="E1007" t="s">
        <v>237</v>
      </c>
      <c r="F1007" t="s">
        <v>238</v>
      </c>
      <c r="G1007" t="s">
        <v>7</v>
      </c>
      <c r="H1007" t="s">
        <v>217</v>
      </c>
      <c r="I1007" t="s">
        <v>217</v>
      </c>
      <c r="J1007" t="s">
        <v>7</v>
      </c>
      <c r="K1007" t="str">
        <f t="shared" si="15"/>
        <v>00430021</v>
      </c>
      <c r="L1007">
        <v>5088000</v>
      </c>
      <c r="M1007">
        <v>11001000</v>
      </c>
    </row>
    <row r="1008" spans="1:13">
      <c r="A1008" t="s">
        <v>142</v>
      </c>
      <c r="B1008" t="s">
        <v>305</v>
      </c>
      <c r="C1008" t="s">
        <v>131</v>
      </c>
      <c r="D1008" t="s">
        <v>278</v>
      </c>
      <c r="E1008" t="s">
        <v>237</v>
      </c>
      <c r="F1008" t="s">
        <v>238</v>
      </c>
      <c r="G1008" t="s">
        <v>7</v>
      </c>
      <c r="H1008" t="s">
        <v>217</v>
      </c>
      <c r="I1008" t="s">
        <v>217</v>
      </c>
      <c r="J1008" t="s">
        <v>7</v>
      </c>
      <c r="K1008" t="str">
        <f t="shared" si="15"/>
        <v>00430035</v>
      </c>
      <c r="L1008">
        <v>5088000</v>
      </c>
      <c r="M1008">
        <v>11001000</v>
      </c>
    </row>
    <row r="1009" spans="1:13">
      <c r="A1009" t="s">
        <v>142</v>
      </c>
      <c r="B1009" t="s">
        <v>305</v>
      </c>
      <c r="C1009" t="s">
        <v>118</v>
      </c>
      <c r="D1009" t="s">
        <v>112</v>
      </c>
      <c r="E1009" t="s">
        <v>237</v>
      </c>
      <c r="F1009" t="s">
        <v>238</v>
      </c>
      <c r="G1009" t="s">
        <v>7</v>
      </c>
      <c r="H1009" t="s">
        <v>217</v>
      </c>
      <c r="I1009" t="s">
        <v>217</v>
      </c>
      <c r="J1009" t="s">
        <v>7</v>
      </c>
      <c r="K1009" t="str">
        <f t="shared" si="15"/>
        <v>00430079</v>
      </c>
      <c r="L1009">
        <v>5088000</v>
      </c>
      <c r="M1009">
        <v>5001000</v>
      </c>
    </row>
    <row r="1010" spans="1:13">
      <c r="A1010" t="s">
        <v>142</v>
      </c>
      <c r="B1010" t="s">
        <v>305</v>
      </c>
      <c r="C1010" t="s">
        <v>119</v>
      </c>
      <c r="D1010" t="s">
        <v>274</v>
      </c>
      <c r="E1010" t="s">
        <v>237</v>
      </c>
      <c r="F1010" t="s">
        <v>238</v>
      </c>
      <c r="G1010" t="s">
        <v>7</v>
      </c>
      <c r="H1010" t="s">
        <v>217</v>
      </c>
      <c r="I1010" t="s">
        <v>217</v>
      </c>
      <c r="J1010" t="s">
        <v>7</v>
      </c>
      <c r="K1010" t="str">
        <f t="shared" si="15"/>
        <v>00430111</v>
      </c>
      <c r="L1010">
        <v>5088000</v>
      </c>
      <c r="M1010">
        <v>8433000</v>
      </c>
    </row>
    <row r="1011" spans="1:13">
      <c r="A1011" t="s">
        <v>142</v>
      </c>
      <c r="B1011" t="s">
        <v>305</v>
      </c>
      <c r="C1011" t="s">
        <v>141</v>
      </c>
      <c r="D1011" t="s">
        <v>250</v>
      </c>
      <c r="E1011" t="s">
        <v>237</v>
      </c>
      <c r="F1011" t="s">
        <v>238</v>
      </c>
      <c r="G1011" t="s">
        <v>7</v>
      </c>
      <c r="H1011" t="s">
        <v>217</v>
      </c>
      <c r="I1011" t="s">
        <v>217</v>
      </c>
      <c r="J1011" t="s">
        <v>7</v>
      </c>
      <c r="K1011" t="str">
        <f t="shared" si="15"/>
        <v>00430198</v>
      </c>
      <c r="L1011">
        <v>5001000</v>
      </c>
      <c r="M1011">
        <v>66001000</v>
      </c>
    </row>
    <row r="1012" spans="1:13">
      <c r="A1012" t="s">
        <v>142</v>
      </c>
      <c r="B1012" t="s">
        <v>305</v>
      </c>
      <c r="C1012" t="s">
        <v>117</v>
      </c>
      <c r="D1012" t="s">
        <v>251</v>
      </c>
      <c r="E1012" t="s">
        <v>237</v>
      </c>
      <c r="F1012" t="s">
        <v>238</v>
      </c>
      <c r="G1012" t="s">
        <v>7</v>
      </c>
      <c r="H1012" t="s">
        <v>217</v>
      </c>
      <c r="I1012" t="s">
        <v>217</v>
      </c>
      <c r="J1012" t="s">
        <v>7</v>
      </c>
      <c r="K1012" t="str">
        <f t="shared" si="15"/>
        <v>00430410</v>
      </c>
      <c r="L1012">
        <v>5088000</v>
      </c>
      <c r="M1012">
        <v>76892000</v>
      </c>
    </row>
    <row r="1013" spans="1:13">
      <c r="A1013" t="s">
        <v>142</v>
      </c>
      <c r="B1013" t="s">
        <v>305</v>
      </c>
      <c r="C1013" t="s">
        <v>125</v>
      </c>
      <c r="D1013" t="s">
        <v>277</v>
      </c>
      <c r="E1013" t="s">
        <v>237</v>
      </c>
      <c r="F1013" t="s">
        <v>238</v>
      </c>
      <c r="G1013" t="s">
        <v>7</v>
      </c>
      <c r="H1013" t="s">
        <v>217</v>
      </c>
      <c r="I1013" t="s">
        <v>217</v>
      </c>
      <c r="J1013" t="s">
        <v>7</v>
      </c>
      <c r="K1013" t="str">
        <f t="shared" si="15"/>
        <v>00430445</v>
      </c>
      <c r="L1013">
        <v>5088000</v>
      </c>
      <c r="M1013">
        <v>76001000</v>
      </c>
    </row>
    <row r="1014" spans="1:13">
      <c r="A1014" t="s">
        <v>142</v>
      </c>
      <c r="B1014" t="s">
        <v>305</v>
      </c>
      <c r="C1014" t="s">
        <v>137</v>
      </c>
      <c r="D1014" t="s">
        <v>302</v>
      </c>
      <c r="E1014" t="s">
        <v>237</v>
      </c>
      <c r="F1014" t="s">
        <v>238</v>
      </c>
      <c r="G1014" t="s">
        <v>7</v>
      </c>
      <c r="H1014" t="s">
        <v>217</v>
      </c>
      <c r="I1014" t="s">
        <v>217</v>
      </c>
      <c r="J1014" t="s">
        <v>7</v>
      </c>
      <c r="K1014" t="str">
        <f t="shared" si="15"/>
        <v>00430460</v>
      </c>
      <c r="L1014">
        <v>5088000</v>
      </c>
      <c r="M1014">
        <v>11001000</v>
      </c>
    </row>
    <row r="1015" spans="1:13">
      <c r="A1015" t="s">
        <v>142</v>
      </c>
      <c r="B1015" t="s">
        <v>305</v>
      </c>
      <c r="C1015" t="s">
        <v>128</v>
      </c>
      <c r="D1015" t="s">
        <v>301</v>
      </c>
      <c r="E1015" t="s">
        <v>237</v>
      </c>
      <c r="F1015" t="s">
        <v>238</v>
      </c>
      <c r="G1015" t="s">
        <v>7</v>
      </c>
      <c r="H1015" t="s">
        <v>217</v>
      </c>
      <c r="I1015" t="s">
        <v>217</v>
      </c>
      <c r="J1015" t="s">
        <v>7</v>
      </c>
      <c r="K1015" t="str">
        <f t="shared" si="15"/>
        <v>00430461</v>
      </c>
      <c r="L1015">
        <v>5088000</v>
      </c>
      <c r="M1015">
        <v>11001000</v>
      </c>
    </row>
    <row r="1016" spans="1:13">
      <c r="A1016" t="s">
        <v>142</v>
      </c>
      <c r="B1016" t="s">
        <v>305</v>
      </c>
      <c r="C1016" t="s">
        <v>132</v>
      </c>
      <c r="D1016" t="s">
        <v>255</v>
      </c>
      <c r="E1016" t="s">
        <v>237</v>
      </c>
      <c r="F1016" t="s">
        <v>238</v>
      </c>
      <c r="G1016" t="s">
        <v>7</v>
      </c>
      <c r="H1016" t="s">
        <v>217</v>
      </c>
      <c r="I1016" t="s">
        <v>217</v>
      </c>
      <c r="J1016" t="s">
        <v>7</v>
      </c>
      <c r="K1016" t="str">
        <f t="shared" si="15"/>
        <v>00430441</v>
      </c>
      <c r="L1016">
        <v>5088000</v>
      </c>
      <c r="M1016">
        <v>11001000</v>
      </c>
    </row>
    <row r="1017" spans="1:13">
      <c r="A1017" t="s">
        <v>129</v>
      </c>
      <c r="B1017" t="s">
        <v>280</v>
      </c>
      <c r="C1017" t="s">
        <v>132</v>
      </c>
      <c r="D1017" t="s">
        <v>255</v>
      </c>
      <c r="E1017" t="s">
        <v>237</v>
      </c>
      <c r="F1017" t="s">
        <v>238</v>
      </c>
      <c r="G1017" t="s">
        <v>7</v>
      </c>
      <c r="H1017" t="s">
        <v>217</v>
      </c>
      <c r="I1017" t="s">
        <v>217</v>
      </c>
      <c r="J1017" t="s">
        <v>7</v>
      </c>
      <c r="K1017" t="str">
        <f t="shared" si="15"/>
        <v>03810441</v>
      </c>
      <c r="L1017">
        <v>23001000</v>
      </c>
      <c r="M1017">
        <v>15238000</v>
      </c>
    </row>
    <row r="1018" spans="1:13">
      <c r="A1018" t="s">
        <v>147</v>
      </c>
      <c r="B1018" t="s">
        <v>236</v>
      </c>
      <c r="C1018" t="s">
        <v>132</v>
      </c>
      <c r="D1018" t="s">
        <v>255</v>
      </c>
      <c r="E1018" t="s">
        <v>237</v>
      </c>
      <c r="F1018" t="s">
        <v>238</v>
      </c>
      <c r="G1018" t="s">
        <v>7</v>
      </c>
      <c r="H1018" t="s">
        <v>217</v>
      </c>
      <c r="I1018" t="s">
        <v>217</v>
      </c>
      <c r="J1018" t="s">
        <v>7</v>
      </c>
      <c r="K1018" t="str">
        <f t="shared" si="15"/>
        <v>00220441</v>
      </c>
      <c r="L1018">
        <v>25430000</v>
      </c>
      <c r="M1018">
        <v>15238000</v>
      </c>
    </row>
    <row r="1019" spans="1:13">
      <c r="A1019" t="s">
        <v>184</v>
      </c>
      <c r="B1019" t="s">
        <v>239</v>
      </c>
      <c r="C1019" t="s">
        <v>132</v>
      </c>
      <c r="D1019" t="s">
        <v>255</v>
      </c>
      <c r="E1019" t="s">
        <v>237</v>
      </c>
      <c r="F1019" t="s">
        <v>238</v>
      </c>
      <c r="G1019" t="s">
        <v>7</v>
      </c>
      <c r="H1019" t="s">
        <v>217</v>
      </c>
      <c r="I1019" t="s">
        <v>217</v>
      </c>
      <c r="J1019" t="s">
        <v>7</v>
      </c>
      <c r="K1019" t="str">
        <f t="shared" si="15"/>
        <v>00240441</v>
      </c>
      <c r="L1019">
        <v>25386000</v>
      </c>
      <c r="M1019">
        <v>11001000</v>
      </c>
    </row>
    <row r="1020" spans="1:13">
      <c r="A1020" t="s">
        <v>180</v>
      </c>
      <c r="B1020" t="s">
        <v>240</v>
      </c>
      <c r="C1020" t="s">
        <v>132</v>
      </c>
      <c r="D1020" t="s">
        <v>255</v>
      </c>
      <c r="E1020" t="s">
        <v>237</v>
      </c>
      <c r="F1020" t="s">
        <v>238</v>
      </c>
      <c r="G1020" t="s">
        <v>7</v>
      </c>
      <c r="H1020" t="s">
        <v>217</v>
      </c>
      <c r="I1020" t="s">
        <v>217</v>
      </c>
      <c r="J1020" t="s">
        <v>7</v>
      </c>
      <c r="K1020" t="str">
        <f t="shared" si="15"/>
        <v>00250441</v>
      </c>
      <c r="L1020">
        <v>25875000</v>
      </c>
      <c r="M1020">
        <v>11001000</v>
      </c>
    </row>
    <row r="1021" spans="1:13">
      <c r="A1021" t="s">
        <v>136</v>
      </c>
      <c r="B1021" t="s">
        <v>276</v>
      </c>
      <c r="C1021" t="s">
        <v>132</v>
      </c>
      <c r="D1021" t="s">
        <v>255</v>
      </c>
      <c r="E1021" t="s">
        <v>237</v>
      </c>
      <c r="F1021" t="s">
        <v>238</v>
      </c>
      <c r="G1021" t="s">
        <v>7</v>
      </c>
      <c r="H1021" t="s">
        <v>217</v>
      </c>
      <c r="I1021" t="s">
        <v>217</v>
      </c>
      <c r="J1021" t="s">
        <v>7</v>
      </c>
      <c r="K1021" t="str">
        <f t="shared" si="15"/>
        <v>00740441</v>
      </c>
      <c r="L1021">
        <v>5001000</v>
      </c>
      <c r="M1021">
        <v>15238000</v>
      </c>
    </row>
    <row r="1022" spans="1:13">
      <c r="A1022" t="s">
        <v>162</v>
      </c>
      <c r="B1022" t="s">
        <v>245</v>
      </c>
      <c r="C1022" t="s">
        <v>132</v>
      </c>
      <c r="D1022" t="s">
        <v>255</v>
      </c>
      <c r="E1022" t="s">
        <v>237</v>
      </c>
      <c r="F1022" t="s">
        <v>238</v>
      </c>
      <c r="G1022" t="s">
        <v>7</v>
      </c>
      <c r="H1022" t="s">
        <v>217</v>
      </c>
      <c r="I1022" t="s">
        <v>217</v>
      </c>
      <c r="J1022" t="s">
        <v>7</v>
      </c>
      <c r="K1022" t="str">
        <f t="shared" si="15"/>
        <v>01260441</v>
      </c>
      <c r="L1022">
        <v>19001000</v>
      </c>
      <c r="M1022">
        <v>15238000</v>
      </c>
    </row>
    <row r="1023" spans="1:13">
      <c r="A1023" t="s">
        <v>166</v>
      </c>
      <c r="B1023" t="s">
        <v>246</v>
      </c>
      <c r="C1023" t="s">
        <v>132</v>
      </c>
      <c r="D1023" t="s">
        <v>255</v>
      </c>
      <c r="E1023" t="s">
        <v>237</v>
      </c>
      <c r="F1023" t="s">
        <v>238</v>
      </c>
      <c r="G1023" t="s">
        <v>7</v>
      </c>
      <c r="H1023" t="s">
        <v>217</v>
      </c>
      <c r="I1023" t="s">
        <v>217</v>
      </c>
      <c r="J1023" t="s">
        <v>7</v>
      </c>
      <c r="K1023" t="str">
        <f t="shared" si="15"/>
        <v>01310441</v>
      </c>
      <c r="L1023">
        <v>76109000</v>
      </c>
      <c r="M1023">
        <v>15238000</v>
      </c>
    </row>
    <row r="1024" spans="1:13">
      <c r="A1024" t="s">
        <v>155</v>
      </c>
      <c r="B1024" t="s">
        <v>248</v>
      </c>
      <c r="C1024" t="s">
        <v>132</v>
      </c>
      <c r="D1024" t="s">
        <v>255</v>
      </c>
      <c r="E1024" t="s">
        <v>237</v>
      </c>
      <c r="F1024" t="s">
        <v>238</v>
      </c>
      <c r="G1024" t="s">
        <v>7</v>
      </c>
      <c r="H1024" t="s">
        <v>217</v>
      </c>
      <c r="I1024" t="s">
        <v>217</v>
      </c>
      <c r="J1024" t="s">
        <v>7</v>
      </c>
      <c r="K1024" t="str">
        <f t="shared" si="15"/>
        <v>01420441</v>
      </c>
      <c r="L1024">
        <v>63001000</v>
      </c>
      <c r="M1024">
        <v>15238000</v>
      </c>
    </row>
    <row r="1025" spans="1:13">
      <c r="A1025" t="s">
        <v>153</v>
      </c>
      <c r="B1025" t="s">
        <v>249</v>
      </c>
      <c r="C1025" t="s">
        <v>132</v>
      </c>
      <c r="D1025" t="s">
        <v>255</v>
      </c>
      <c r="E1025" t="s">
        <v>237</v>
      </c>
      <c r="F1025" t="s">
        <v>238</v>
      </c>
      <c r="G1025" t="s">
        <v>7</v>
      </c>
      <c r="H1025" t="s">
        <v>217</v>
      </c>
      <c r="I1025" t="s">
        <v>217</v>
      </c>
      <c r="J1025" t="s">
        <v>7</v>
      </c>
      <c r="K1025" t="str">
        <f t="shared" si="15"/>
        <v>01450441</v>
      </c>
      <c r="L1025">
        <v>17001000</v>
      </c>
      <c r="M1025">
        <v>15238000</v>
      </c>
    </row>
    <row r="1026" spans="1:13">
      <c r="A1026" t="s">
        <v>145</v>
      </c>
      <c r="B1026" t="s">
        <v>254</v>
      </c>
      <c r="C1026" t="s">
        <v>132</v>
      </c>
      <c r="D1026" t="s">
        <v>255</v>
      </c>
      <c r="E1026" t="s">
        <v>237</v>
      </c>
      <c r="F1026" t="s">
        <v>238</v>
      </c>
      <c r="G1026" t="s">
        <v>7</v>
      </c>
      <c r="H1026" t="s">
        <v>217</v>
      </c>
      <c r="I1026" t="s">
        <v>217</v>
      </c>
      <c r="J1026" t="s">
        <v>7</v>
      </c>
      <c r="K1026" t="str">
        <f t="shared" si="15"/>
        <v>03580441</v>
      </c>
      <c r="L1026">
        <v>76364000</v>
      </c>
      <c r="M1026">
        <v>11001000</v>
      </c>
    </row>
    <row r="1027" spans="1:13">
      <c r="A1027" t="s">
        <v>161</v>
      </c>
      <c r="B1027" t="s">
        <v>293</v>
      </c>
      <c r="C1027" t="s">
        <v>132</v>
      </c>
      <c r="D1027" t="s">
        <v>255</v>
      </c>
      <c r="E1027" t="s">
        <v>237</v>
      </c>
      <c r="F1027" t="s">
        <v>238</v>
      </c>
      <c r="G1027" t="s">
        <v>7</v>
      </c>
      <c r="H1027" t="s">
        <v>217</v>
      </c>
      <c r="I1027" t="s">
        <v>217</v>
      </c>
      <c r="J1027" t="s">
        <v>7</v>
      </c>
      <c r="K1027" t="str">
        <f t="shared" ref="K1027:K1090" si="16">A1027&amp;C1027</f>
        <v>03820441</v>
      </c>
      <c r="L1027">
        <v>70001000</v>
      </c>
      <c r="M1027">
        <v>15238000</v>
      </c>
    </row>
    <row r="1028" spans="1:13">
      <c r="A1028" t="s">
        <v>159</v>
      </c>
      <c r="B1028" t="s">
        <v>279</v>
      </c>
      <c r="C1028" t="s">
        <v>132</v>
      </c>
      <c r="D1028" t="s">
        <v>255</v>
      </c>
      <c r="E1028" t="s">
        <v>237</v>
      </c>
      <c r="F1028" t="s">
        <v>238</v>
      </c>
      <c r="G1028" t="s">
        <v>7</v>
      </c>
      <c r="H1028" t="s">
        <v>217</v>
      </c>
      <c r="I1028" t="s">
        <v>217</v>
      </c>
      <c r="J1028" t="s">
        <v>7</v>
      </c>
      <c r="K1028" t="str">
        <f t="shared" si="16"/>
        <v>03840441</v>
      </c>
      <c r="L1028">
        <v>5154000</v>
      </c>
      <c r="M1028">
        <v>11001000</v>
      </c>
    </row>
    <row r="1029" spans="1:13">
      <c r="A1029" t="s">
        <v>177</v>
      </c>
      <c r="B1029" t="s">
        <v>264</v>
      </c>
      <c r="C1029" t="s">
        <v>132</v>
      </c>
      <c r="D1029" t="s">
        <v>255</v>
      </c>
      <c r="E1029" t="s">
        <v>237</v>
      </c>
      <c r="F1029" t="s">
        <v>238</v>
      </c>
      <c r="G1029" t="s">
        <v>7</v>
      </c>
      <c r="H1029" t="s">
        <v>217</v>
      </c>
      <c r="I1029" t="s">
        <v>217</v>
      </c>
      <c r="J1029" t="s">
        <v>7</v>
      </c>
      <c r="K1029" t="str">
        <f t="shared" si="16"/>
        <v>03860441</v>
      </c>
      <c r="L1029">
        <v>73671000</v>
      </c>
      <c r="M1029">
        <v>11001000</v>
      </c>
    </row>
    <row r="1030" spans="1:13">
      <c r="A1030" t="s">
        <v>138</v>
      </c>
      <c r="B1030" t="s">
        <v>265</v>
      </c>
      <c r="C1030" t="s">
        <v>132</v>
      </c>
      <c r="D1030" t="s">
        <v>255</v>
      </c>
      <c r="E1030" t="s">
        <v>237</v>
      </c>
      <c r="F1030" t="s">
        <v>238</v>
      </c>
      <c r="G1030" t="s">
        <v>7</v>
      </c>
      <c r="H1030" t="s">
        <v>217</v>
      </c>
      <c r="I1030" t="s">
        <v>217</v>
      </c>
      <c r="J1030" t="s">
        <v>7</v>
      </c>
      <c r="K1030" t="str">
        <f t="shared" si="16"/>
        <v>03870441</v>
      </c>
      <c r="L1030">
        <v>41298000</v>
      </c>
      <c r="M1030">
        <v>11001000</v>
      </c>
    </row>
    <row r="1031" spans="1:13">
      <c r="A1031" t="s">
        <v>143</v>
      </c>
      <c r="B1031" t="s">
        <v>266</v>
      </c>
      <c r="C1031" t="s">
        <v>132</v>
      </c>
      <c r="D1031" t="s">
        <v>255</v>
      </c>
      <c r="E1031" t="s">
        <v>237</v>
      </c>
      <c r="F1031" t="s">
        <v>238</v>
      </c>
      <c r="G1031" t="s">
        <v>7</v>
      </c>
      <c r="H1031" t="s">
        <v>217</v>
      </c>
      <c r="I1031" t="s">
        <v>217</v>
      </c>
      <c r="J1031" t="s">
        <v>7</v>
      </c>
      <c r="K1031" t="str">
        <f t="shared" si="16"/>
        <v>03880441</v>
      </c>
      <c r="L1031">
        <v>18001000</v>
      </c>
      <c r="M1031">
        <v>15238000</v>
      </c>
    </row>
    <row r="1032" spans="1:13">
      <c r="A1032" t="s">
        <v>126</v>
      </c>
      <c r="B1032" t="s">
        <v>267</v>
      </c>
      <c r="C1032" t="s">
        <v>132</v>
      </c>
      <c r="D1032" t="s">
        <v>255</v>
      </c>
      <c r="E1032" t="s">
        <v>237</v>
      </c>
      <c r="F1032" t="s">
        <v>238</v>
      </c>
      <c r="G1032" t="s">
        <v>7</v>
      </c>
      <c r="H1032" t="s">
        <v>217</v>
      </c>
      <c r="I1032" t="s">
        <v>217</v>
      </c>
      <c r="J1032" t="s">
        <v>7</v>
      </c>
      <c r="K1032" t="str">
        <f t="shared" si="16"/>
        <v>03890441</v>
      </c>
      <c r="L1032">
        <v>73001000</v>
      </c>
      <c r="M1032">
        <v>15238000</v>
      </c>
    </row>
    <row r="1033" spans="1:13">
      <c r="A1033" t="s">
        <v>127</v>
      </c>
      <c r="B1033" t="s">
        <v>268</v>
      </c>
      <c r="C1033" t="s">
        <v>132</v>
      </c>
      <c r="D1033" t="s">
        <v>255</v>
      </c>
      <c r="E1033" t="s">
        <v>237</v>
      </c>
      <c r="F1033" t="s">
        <v>238</v>
      </c>
      <c r="G1033" t="s">
        <v>7</v>
      </c>
      <c r="H1033" t="s">
        <v>217</v>
      </c>
      <c r="I1033" t="s">
        <v>217</v>
      </c>
      <c r="J1033" t="s">
        <v>7</v>
      </c>
      <c r="K1033" t="str">
        <f t="shared" si="16"/>
        <v>03900441</v>
      </c>
      <c r="L1033">
        <v>25612000</v>
      </c>
      <c r="M1033">
        <v>11001000</v>
      </c>
    </row>
    <row r="1034" spans="1:13">
      <c r="A1034" t="s">
        <v>171</v>
      </c>
      <c r="B1034" t="s">
        <v>269</v>
      </c>
      <c r="C1034" t="s">
        <v>132</v>
      </c>
      <c r="D1034" t="s">
        <v>255</v>
      </c>
      <c r="E1034" t="s">
        <v>237</v>
      </c>
      <c r="F1034" t="s">
        <v>238</v>
      </c>
      <c r="G1034" t="s">
        <v>7</v>
      </c>
      <c r="H1034" t="s">
        <v>217</v>
      </c>
      <c r="I1034" t="s">
        <v>217</v>
      </c>
      <c r="J1034" t="s">
        <v>7</v>
      </c>
      <c r="K1034" t="str">
        <f t="shared" si="16"/>
        <v>03910441</v>
      </c>
      <c r="L1034">
        <v>17380000</v>
      </c>
      <c r="M1034">
        <v>11001000</v>
      </c>
    </row>
    <row r="1035" spans="1:13">
      <c r="A1035" t="s">
        <v>150</v>
      </c>
      <c r="B1035" t="s">
        <v>256</v>
      </c>
      <c r="C1035" t="s">
        <v>132</v>
      </c>
      <c r="D1035" t="s">
        <v>255</v>
      </c>
      <c r="E1035" t="s">
        <v>237</v>
      </c>
      <c r="F1035" t="s">
        <v>238</v>
      </c>
      <c r="G1035" t="s">
        <v>7</v>
      </c>
      <c r="H1035" t="s">
        <v>217</v>
      </c>
      <c r="I1035" t="s">
        <v>217</v>
      </c>
      <c r="J1035" t="s">
        <v>7</v>
      </c>
      <c r="K1035" t="str">
        <f t="shared" si="16"/>
        <v>03940441</v>
      </c>
      <c r="L1035">
        <v>50313000</v>
      </c>
      <c r="M1035">
        <v>11001000</v>
      </c>
    </row>
    <row r="1036" spans="1:13">
      <c r="A1036" t="s">
        <v>151</v>
      </c>
      <c r="B1036" t="s">
        <v>271</v>
      </c>
      <c r="C1036" t="s">
        <v>132</v>
      </c>
      <c r="D1036" t="s">
        <v>255</v>
      </c>
      <c r="E1036" t="s">
        <v>237</v>
      </c>
      <c r="F1036" t="s">
        <v>238</v>
      </c>
      <c r="G1036" t="s">
        <v>7</v>
      </c>
      <c r="H1036" t="s">
        <v>217</v>
      </c>
      <c r="I1036" t="s">
        <v>217</v>
      </c>
      <c r="J1036" t="s">
        <v>7</v>
      </c>
      <c r="K1036" t="str">
        <f t="shared" si="16"/>
        <v>03950441</v>
      </c>
      <c r="L1036">
        <v>52001000</v>
      </c>
      <c r="M1036">
        <v>15238000</v>
      </c>
    </row>
    <row r="1037" spans="1:13">
      <c r="A1037" t="s">
        <v>146</v>
      </c>
      <c r="B1037" t="s">
        <v>272</v>
      </c>
      <c r="C1037" t="s">
        <v>132</v>
      </c>
      <c r="D1037" t="s">
        <v>255</v>
      </c>
      <c r="E1037" t="s">
        <v>237</v>
      </c>
      <c r="F1037" t="s">
        <v>238</v>
      </c>
      <c r="G1037" t="s">
        <v>7</v>
      </c>
      <c r="H1037" t="s">
        <v>217</v>
      </c>
      <c r="I1037" t="s">
        <v>217</v>
      </c>
      <c r="J1037" t="s">
        <v>7</v>
      </c>
      <c r="K1037" t="str">
        <f t="shared" si="16"/>
        <v>03960441</v>
      </c>
      <c r="L1037">
        <v>52835000</v>
      </c>
      <c r="M1037">
        <v>15238000</v>
      </c>
    </row>
    <row r="1038" spans="1:13">
      <c r="A1038" t="s">
        <v>139</v>
      </c>
      <c r="B1038" t="s">
        <v>273</v>
      </c>
      <c r="C1038" t="s">
        <v>132</v>
      </c>
      <c r="D1038" t="s">
        <v>255</v>
      </c>
      <c r="E1038" t="s">
        <v>237</v>
      </c>
      <c r="F1038" t="s">
        <v>238</v>
      </c>
      <c r="G1038" t="s">
        <v>7</v>
      </c>
      <c r="H1038" t="s">
        <v>217</v>
      </c>
      <c r="I1038" t="s">
        <v>217</v>
      </c>
      <c r="J1038" t="s">
        <v>7</v>
      </c>
      <c r="K1038" t="str">
        <f t="shared" si="16"/>
        <v>03970441</v>
      </c>
      <c r="L1038">
        <v>52356000</v>
      </c>
      <c r="M1038">
        <v>15238000</v>
      </c>
    </row>
    <row r="1039" spans="1:13">
      <c r="A1039" t="s">
        <v>152</v>
      </c>
      <c r="B1039" t="s">
        <v>252</v>
      </c>
      <c r="C1039" t="s">
        <v>132</v>
      </c>
      <c r="D1039" t="s">
        <v>255</v>
      </c>
      <c r="E1039" t="s">
        <v>237</v>
      </c>
      <c r="F1039" t="s">
        <v>238</v>
      </c>
      <c r="G1039" t="s">
        <v>7</v>
      </c>
      <c r="H1039" t="s">
        <v>217</v>
      </c>
      <c r="I1039" t="s">
        <v>217</v>
      </c>
      <c r="J1039" t="s">
        <v>7</v>
      </c>
      <c r="K1039" t="str">
        <f t="shared" si="16"/>
        <v>04110441</v>
      </c>
      <c r="L1039">
        <v>76111000</v>
      </c>
      <c r="M1039">
        <v>15238000</v>
      </c>
    </row>
    <row r="1040" spans="1:13">
      <c r="A1040" t="s">
        <v>169</v>
      </c>
      <c r="B1040" t="s">
        <v>291</v>
      </c>
      <c r="C1040" t="s">
        <v>132</v>
      </c>
      <c r="D1040" t="s">
        <v>255</v>
      </c>
      <c r="E1040" t="s">
        <v>237</v>
      </c>
      <c r="F1040" t="s">
        <v>238</v>
      </c>
      <c r="G1040" t="s">
        <v>7</v>
      </c>
      <c r="H1040" t="s">
        <v>217</v>
      </c>
      <c r="I1040" t="s">
        <v>217</v>
      </c>
      <c r="J1040" t="s">
        <v>7</v>
      </c>
      <c r="K1040" t="str">
        <f t="shared" si="16"/>
        <v>04490441</v>
      </c>
      <c r="L1040">
        <v>20060000</v>
      </c>
      <c r="M1040">
        <v>11001000</v>
      </c>
    </row>
    <row r="1041" spans="1:13">
      <c r="A1041" t="s">
        <v>183</v>
      </c>
      <c r="B1041" t="s">
        <v>303</v>
      </c>
      <c r="C1041" t="s">
        <v>132</v>
      </c>
      <c r="D1041" t="s">
        <v>255</v>
      </c>
      <c r="E1041" t="s">
        <v>237</v>
      </c>
      <c r="F1041" t="s">
        <v>238</v>
      </c>
      <c r="G1041" t="s">
        <v>7</v>
      </c>
      <c r="H1041" t="s">
        <v>217</v>
      </c>
      <c r="I1041" t="s">
        <v>217</v>
      </c>
      <c r="J1041" t="s">
        <v>7</v>
      </c>
      <c r="K1041" t="str">
        <f t="shared" si="16"/>
        <v>04620441</v>
      </c>
      <c r="L1041">
        <v>25151000</v>
      </c>
      <c r="M1041">
        <v>11001000</v>
      </c>
    </row>
    <row r="1042" spans="1:13">
      <c r="A1042" t="s">
        <v>179</v>
      </c>
      <c r="B1042" t="s">
        <v>304</v>
      </c>
      <c r="C1042" t="s">
        <v>132</v>
      </c>
      <c r="D1042" t="s">
        <v>255</v>
      </c>
      <c r="E1042" t="s">
        <v>237</v>
      </c>
      <c r="F1042" t="s">
        <v>238</v>
      </c>
      <c r="G1042" t="s">
        <v>7</v>
      </c>
      <c r="H1042" t="s">
        <v>217</v>
      </c>
      <c r="I1042" t="s">
        <v>217</v>
      </c>
      <c r="J1042" t="s">
        <v>7</v>
      </c>
      <c r="K1042" t="str">
        <f t="shared" si="16"/>
        <v>04630441</v>
      </c>
      <c r="L1042">
        <v>25290000</v>
      </c>
      <c r="M1042">
        <v>11001000</v>
      </c>
    </row>
    <row r="1043" spans="1:13">
      <c r="A1043" t="s">
        <v>167</v>
      </c>
      <c r="B1043" t="s">
        <v>298</v>
      </c>
      <c r="C1043" t="s">
        <v>116</v>
      </c>
      <c r="D1043" t="s">
        <v>235</v>
      </c>
      <c r="E1043" t="s">
        <v>237</v>
      </c>
      <c r="F1043" t="s">
        <v>238</v>
      </c>
      <c r="G1043" t="s">
        <v>7</v>
      </c>
      <c r="H1043" t="s">
        <v>217</v>
      </c>
      <c r="I1043" t="s">
        <v>217</v>
      </c>
      <c r="J1043" t="s">
        <v>7</v>
      </c>
      <c r="K1043" t="str">
        <f t="shared" si="16"/>
        <v>04480021</v>
      </c>
      <c r="L1043">
        <v>20001000</v>
      </c>
      <c r="M1043">
        <v>11001000</v>
      </c>
    </row>
    <row r="1044" spans="1:13">
      <c r="A1044" t="s">
        <v>166</v>
      </c>
      <c r="B1044" t="s">
        <v>246</v>
      </c>
      <c r="C1044" t="s">
        <v>128</v>
      </c>
      <c r="D1044" t="s">
        <v>301</v>
      </c>
      <c r="E1044" t="s">
        <v>237</v>
      </c>
      <c r="F1044" t="s">
        <v>238</v>
      </c>
      <c r="G1044" t="s">
        <v>7</v>
      </c>
      <c r="H1044" t="s">
        <v>217</v>
      </c>
      <c r="I1044" t="s">
        <v>217</v>
      </c>
      <c r="J1044" t="s">
        <v>7</v>
      </c>
      <c r="K1044" t="str">
        <f t="shared" si="16"/>
        <v>01310461</v>
      </c>
      <c r="L1044">
        <v>76109000</v>
      </c>
      <c r="M1044">
        <v>11001000</v>
      </c>
    </row>
    <row r="1045" spans="1:13">
      <c r="A1045" t="s">
        <v>166</v>
      </c>
      <c r="B1045" t="s">
        <v>246</v>
      </c>
      <c r="C1045" t="s">
        <v>118</v>
      </c>
      <c r="D1045" t="s">
        <v>112</v>
      </c>
      <c r="E1045" t="s">
        <v>237</v>
      </c>
      <c r="F1045" t="s">
        <v>238</v>
      </c>
      <c r="G1045" t="s">
        <v>7</v>
      </c>
      <c r="H1045" t="s">
        <v>217</v>
      </c>
      <c r="I1045" t="s">
        <v>217</v>
      </c>
      <c r="J1045" t="s">
        <v>7</v>
      </c>
      <c r="K1045" t="str">
        <f t="shared" si="16"/>
        <v>01310079</v>
      </c>
      <c r="L1045">
        <v>76109000</v>
      </c>
      <c r="M1045">
        <v>5088000</v>
      </c>
    </row>
    <row r="1046" spans="1:13">
      <c r="A1046" t="s">
        <v>152</v>
      </c>
      <c r="B1046" t="s">
        <v>252</v>
      </c>
      <c r="C1046" t="s">
        <v>137</v>
      </c>
      <c r="D1046" t="s">
        <v>302</v>
      </c>
      <c r="E1046" t="s">
        <v>237</v>
      </c>
      <c r="F1046" t="s">
        <v>238</v>
      </c>
      <c r="G1046" t="s">
        <v>7</v>
      </c>
      <c r="H1046" t="s">
        <v>217</v>
      </c>
      <c r="I1046" t="s">
        <v>217</v>
      </c>
      <c r="J1046" t="s">
        <v>7</v>
      </c>
      <c r="K1046" t="str">
        <f t="shared" si="16"/>
        <v>04110460</v>
      </c>
      <c r="L1046">
        <v>76111000</v>
      </c>
      <c r="M1046">
        <v>11001000</v>
      </c>
    </row>
    <row r="1047" spans="1:13">
      <c r="A1047" t="s">
        <v>183</v>
      </c>
      <c r="B1047" t="s">
        <v>303</v>
      </c>
      <c r="C1047" t="s">
        <v>147</v>
      </c>
      <c r="D1047" t="s">
        <v>236</v>
      </c>
      <c r="E1047" t="s">
        <v>237</v>
      </c>
      <c r="F1047" t="s">
        <v>238</v>
      </c>
      <c r="G1047" t="s">
        <v>7</v>
      </c>
      <c r="H1047" t="s">
        <v>217</v>
      </c>
      <c r="I1047" t="s">
        <v>217</v>
      </c>
      <c r="J1047" t="s">
        <v>7</v>
      </c>
      <c r="K1047" t="str">
        <f t="shared" si="16"/>
        <v>04620022</v>
      </c>
      <c r="L1047">
        <v>25151000</v>
      </c>
      <c r="M1047">
        <v>11001000</v>
      </c>
    </row>
    <row r="1048" spans="1:13">
      <c r="A1048" t="s">
        <v>140</v>
      </c>
      <c r="B1048" t="s">
        <v>243</v>
      </c>
      <c r="C1048" t="s">
        <v>136</v>
      </c>
      <c r="D1048" t="s">
        <v>276</v>
      </c>
      <c r="E1048" t="s">
        <v>237</v>
      </c>
      <c r="F1048" t="s">
        <v>238</v>
      </c>
      <c r="G1048" t="s">
        <v>7</v>
      </c>
      <c r="H1048" t="s">
        <v>217</v>
      </c>
      <c r="I1048" t="s">
        <v>217</v>
      </c>
      <c r="J1048" t="s">
        <v>7</v>
      </c>
      <c r="K1048" t="str">
        <f t="shared" si="16"/>
        <v>01130074</v>
      </c>
      <c r="L1048">
        <v>13001000</v>
      </c>
      <c r="M1048">
        <v>5172000</v>
      </c>
    </row>
    <row r="1049" spans="1:13">
      <c r="A1049" t="s">
        <v>140</v>
      </c>
      <c r="B1049" t="s">
        <v>243</v>
      </c>
      <c r="C1049" t="s">
        <v>135</v>
      </c>
      <c r="D1049" t="s">
        <v>290</v>
      </c>
      <c r="E1049" t="s">
        <v>237</v>
      </c>
      <c r="F1049" t="s">
        <v>238</v>
      </c>
      <c r="G1049" t="s">
        <v>7</v>
      </c>
      <c r="H1049" t="s">
        <v>217</v>
      </c>
      <c r="I1049" t="s">
        <v>217</v>
      </c>
      <c r="J1049" t="s">
        <v>7</v>
      </c>
      <c r="K1049" t="str">
        <f t="shared" si="16"/>
        <v>01130393</v>
      </c>
      <c r="L1049">
        <v>13001000</v>
      </c>
      <c r="M1049">
        <v>50001000</v>
      </c>
    </row>
    <row r="1050" spans="1:13">
      <c r="A1050" t="s">
        <v>158</v>
      </c>
      <c r="B1050" t="s">
        <v>284</v>
      </c>
      <c r="C1050" t="s">
        <v>163</v>
      </c>
      <c r="D1050" t="s">
        <v>275</v>
      </c>
      <c r="E1050" t="s">
        <v>237</v>
      </c>
      <c r="F1050" t="s">
        <v>238</v>
      </c>
      <c r="G1050" t="s">
        <v>7</v>
      </c>
      <c r="H1050" t="s">
        <v>217</v>
      </c>
      <c r="I1050" t="s">
        <v>217</v>
      </c>
      <c r="J1050" t="s">
        <v>7</v>
      </c>
      <c r="K1050" t="str">
        <f t="shared" si="16"/>
        <v>04440032</v>
      </c>
      <c r="L1050">
        <v>15176000</v>
      </c>
      <c r="M1050">
        <v>11001000</v>
      </c>
    </row>
    <row r="1051" spans="1:13">
      <c r="A1051" t="s">
        <v>143</v>
      </c>
      <c r="B1051" t="s">
        <v>266</v>
      </c>
      <c r="C1051" t="s">
        <v>128</v>
      </c>
      <c r="D1051" t="s">
        <v>301</v>
      </c>
      <c r="E1051" t="s">
        <v>237</v>
      </c>
      <c r="F1051" t="s">
        <v>238</v>
      </c>
      <c r="G1051" t="s">
        <v>7</v>
      </c>
      <c r="H1051" t="s">
        <v>217</v>
      </c>
      <c r="I1051" t="s">
        <v>217</v>
      </c>
      <c r="J1051" t="s">
        <v>7</v>
      </c>
      <c r="K1051" t="str">
        <f t="shared" si="16"/>
        <v>03880461</v>
      </c>
      <c r="L1051">
        <v>18001000</v>
      </c>
      <c r="M1051">
        <v>11001000</v>
      </c>
    </row>
    <row r="1052" spans="1:13">
      <c r="A1052" t="s">
        <v>126</v>
      </c>
      <c r="B1052" t="s">
        <v>267</v>
      </c>
      <c r="C1052" t="s">
        <v>166</v>
      </c>
      <c r="D1052" t="s">
        <v>246</v>
      </c>
      <c r="E1052" t="s">
        <v>237</v>
      </c>
      <c r="F1052" t="s">
        <v>238</v>
      </c>
      <c r="G1052" t="s">
        <v>7</v>
      </c>
      <c r="H1052" t="s">
        <v>217</v>
      </c>
      <c r="I1052" t="s">
        <v>217</v>
      </c>
      <c r="J1052" t="s">
        <v>7</v>
      </c>
      <c r="K1052" t="str">
        <f t="shared" si="16"/>
        <v>03890131</v>
      </c>
      <c r="L1052">
        <v>73001000</v>
      </c>
      <c r="M1052">
        <v>76109000</v>
      </c>
    </row>
    <row r="1053" spans="1:13">
      <c r="A1053" t="s">
        <v>126</v>
      </c>
      <c r="B1053" t="s">
        <v>267</v>
      </c>
      <c r="C1053" t="s">
        <v>152</v>
      </c>
      <c r="D1053" t="s">
        <v>252</v>
      </c>
      <c r="E1053" t="s">
        <v>237</v>
      </c>
      <c r="F1053" t="s">
        <v>238</v>
      </c>
      <c r="G1053" t="s">
        <v>7</v>
      </c>
      <c r="H1053" t="s">
        <v>217</v>
      </c>
      <c r="I1053" t="s">
        <v>217</v>
      </c>
      <c r="J1053" t="s">
        <v>7</v>
      </c>
      <c r="K1053" t="str">
        <f t="shared" si="16"/>
        <v>03890411</v>
      </c>
      <c r="L1053">
        <v>73001000</v>
      </c>
      <c r="M1053">
        <v>76111000</v>
      </c>
    </row>
    <row r="1054" spans="1:13">
      <c r="A1054" t="s">
        <v>126</v>
      </c>
      <c r="B1054" t="s">
        <v>267</v>
      </c>
      <c r="C1054" t="s">
        <v>130</v>
      </c>
      <c r="D1054" t="s">
        <v>247</v>
      </c>
      <c r="E1054" t="s">
        <v>237</v>
      </c>
      <c r="F1054" t="s">
        <v>238</v>
      </c>
      <c r="G1054" t="s">
        <v>7</v>
      </c>
      <c r="H1054" t="s">
        <v>217</v>
      </c>
      <c r="I1054" t="s">
        <v>217</v>
      </c>
      <c r="J1054" t="s">
        <v>7</v>
      </c>
      <c r="K1054" t="str">
        <f t="shared" si="16"/>
        <v>03890134</v>
      </c>
      <c r="L1054">
        <v>73001000</v>
      </c>
      <c r="M1054">
        <v>66170000</v>
      </c>
    </row>
    <row r="1055" spans="1:13">
      <c r="A1055" t="s">
        <v>123</v>
      </c>
      <c r="B1055" t="s">
        <v>263</v>
      </c>
      <c r="C1055" t="s">
        <v>171</v>
      </c>
      <c r="D1055" t="s">
        <v>269</v>
      </c>
      <c r="E1055" t="s">
        <v>237</v>
      </c>
      <c r="F1055" t="s">
        <v>238</v>
      </c>
      <c r="G1055" t="s">
        <v>7</v>
      </c>
      <c r="H1055" t="s">
        <v>217</v>
      </c>
      <c r="I1055" t="s">
        <v>217</v>
      </c>
      <c r="J1055" t="s">
        <v>7</v>
      </c>
      <c r="K1055" t="str">
        <f t="shared" si="16"/>
        <v>02920391</v>
      </c>
      <c r="L1055">
        <v>5360000</v>
      </c>
      <c r="M1055">
        <v>11001000</v>
      </c>
    </row>
    <row r="1056" spans="1:13">
      <c r="A1056" t="s">
        <v>123</v>
      </c>
      <c r="B1056" t="s">
        <v>263</v>
      </c>
      <c r="C1056" t="s">
        <v>173</v>
      </c>
      <c r="D1056" t="s">
        <v>300</v>
      </c>
      <c r="E1056" t="s">
        <v>237</v>
      </c>
      <c r="F1056" t="s">
        <v>238</v>
      </c>
      <c r="G1056" t="s">
        <v>7</v>
      </c>
      <c r="H1056" t="s">
        <v>217</v>
      </c>
      <c r="I1056" t="s">
        <v>217</v>
      </c>
      <c r="J1056" t="s">
        <v>7</v>
      </c>
      <c r="K1056" t="str">
        <f t="shared" si="16"/>
        <v>02920433</v>
      </c>
      <c r="L1056">
        <v>5360000</v>
      </c>
      <c r="M1056">
        <v>5001000</v>
      </c>
    </row>
    <row r="1057" spans="1:13">
      <c r="A1057" t="s">
        <v>145</v>
      </c>
      <c r="B1057" t="s">
        <v>254</v>
      </c>
      <c r="C1057" t="s">
        <v>162</v>
      </c>
      <c r="D1057" t="s">
        <v>245</v>
      </c>
      <c r="E1057" t="s">
        <v>237</v>
      </c>
      <c r="F1057" t="s">
        <v>238</v>
      </c>
      <c r="G1057" t="s">
        <v>7</v>
      </c>
      <c r="H1057" t="s">
        <v>217</v>
      </c>
      <c r="I1057" t="s">
        <v>217</v>
      </c>
      <c r="J1057" t="s">
        <v>7</v>
      </c>
      <c r="K1057" t="str">
        <f t="shared" si="16"/>
        <v>03580126</v>
      </c>
      <c r="L1057">
        <v>76364000</v>
      </c>
      <c r="M1057">
        <v>76001000</v>
      </c>
    </row>
    <row r="1058" spans="1:13">
      <c r="A1058" t="s">
        <v>171</v>
      </c>
      <c r="B1058" t="s">
        <v>269</v>
      </c>
      <c r="C1058" t="s">
        <v>152</v>
      </c>
      <c r="D1058" t="s">
        <v>252</v>
      </c>
      <c r="E1058" t="s">
        <v>237</v>
      </c>
      <c r="F1058" t="s">
        <v>238</v>
      </c>
      <c r="G1058" t="s">
        <v>7</v>
      </c>
      <c r="H1058" t="s">
        <v>217</v>
      </c>
      <c r="I1058" t="s">
        <v>217</v>
      </c>
      <c r="J1058" t="s">
        <v>7</v>
      </c>
      <c r="K1058" t="str">
        <f t="shared" si="16"/>
        <v>03910411</v>
      </c>
      <c r="L1058">
        <v>11001000</v>
      </c>
      <c r="M1058">
        <v>76111000</v>
      </c>
    </row>
    <row r="1059" spans="1:13">
      <c r="A1059" t="s">
        <v>171</v>
      </c>
      <c r="B1059" t="s">
        <v>269</v>
      </c>
      <c r="C1059" t="s">
        <v>163</v>
      </c>
      <c r="D1059" t="s">
        <v>275</v>
      </c>
      <c r="E1059" t="s">
        <v>237</v>
      </c>
      <c r="F1059" t="s">
        <v>238</v>
      </c>
      <c r="G1059" t="s">
        <v>7</v>
      </c>
      <c r="H1059" t="s">
        <v>217</v>
      </c>
      <c r="I1059" t="s">
        <v>217</v>
      </c>
      <c r="J1059" t="s">
        <v>7</v>
      </c>
      <c r="K1059" t="str">
        <f t="shared" si="16"/>
        <v>03910032</v>
      </c>
      <c r="L1059">
        <v>17380000</v>
      </c>
      <c r="M1059">
        <v>11001000</v>
      </c>
    </row>
    <row r="1060" spans="1:13">
      <c r="A1060" t="s">
        <v>147</v>
      </c>
      <c r="B1060" t="s">
        <v>236</v>
      </c>
      <c r="C1060" t="s">
        <v>128</v>
      </c>
      <c r="D1060" t="s">
        <v>301</v>
      </c>
      <c r="E1060" t="s">
        <v>237</v>
      </c>
      <c r="F1060" t="s">
        <v>238</v>
      </c>
      <c r="G1060" t="s">
        <v>7</v>
      </c>
      <c r="H1060" t="s">
        <v>217</v>
      </c>
      <c r="I1060" t="s">
        <v>217</v>
      </c>
      <c r="J1060" t="s">
        <v>7</v>
      </c>
      <c r="K1060" t="str">
        <f t="shared" si="16"/>
        <v>00220461</v>
      </c>
      <c r="L1060">
        <v>25430000</v>
      </c>
      <c r="M1060">
        <v>11001000</v>
      </c>
    </row>
    <row r="1061" spans="1:13">
      <c r="A1061" t="s">
        <v>153</v>
      </c>
      <c r="B1061" t="s">
        <v>249</v>
      </c>
      <c r="C1061" t="s">
        <v>128</v>
      </c>
      <c r="D1061" t="s">
        <v>301</v>
      </c>
      <c r="E1061" t="s">
        <v>237</v>
      </c>
      <c r="F1061" t="s">
        <v>238</v>
      </c>
      <c r="G1061" t="s">
        <v>7</v>
      </c>
      <c r="H1061" t="s">
        <v>217</v>
      </c>
      <c r="I1061" t="s">
        <v>217</v>
      </c>
      <c r="J1061" t="s">
        <v>7</v>
      </c>
      <c r="K1061" t="str">
        <f t="shared" si="16"/>
        <v>01450461</v>
      </c>
      <c r="L1061">
        <v>17001000</v>
      </c>
      <c r="M1061">
        <v>11001000</v>
      </c>
    </row>
    <row r="1062" spans="1:13">
      <c r="A1062" t="s">
        <v>160</v>
      </c>
      <c r="B1062" t="s">
        <v>287</v>
      </c>
      <c r="C1062" t="s">
        <v>137</v>
      </c>
      <c r="D1062" t="s">
        <v>302</v>
      </c>
      <c r="E1062" t="s">
        <v>237</v>
      </c>
      <c r="F1062" t="s">
        <v>238</v>
      </c>
      <c r="G1062" t="s">
        <v>7</v>
      </c>
      <c r="H1062" t="s">
        <v>217</v>
      </c>
      <c r="I1062" t="s">
        <v>217</v>
      </c>
      <c r="J1062" t="s">
        <v>7</v>
      </c>
      <c r="K1062" t="str">
        <f t="shared" si="16"/>
        <v>04230460</v>
      </c>
      <c r="L1062">
        <v>68001000</v>
      </c>
      <c r="M1062">
        <v>11001000</v>
      </c>
    </row>
    <row r="1063" spans="1:13">
      <c r="A1063" t="s">
        <v>160</v>
      </c>
      <c r="B1063" t="s">
        <v>287</v>
      </c>
      <c r="C1063" t="s">
        <v>128</v>
      </c>
      <c r="D1063" t="s">
        <v>301</v>
      </c>
      <c r="E1063" t="s">
        <v>237</v>
      </c>
      <c r="F1063" t="s">
        <v>238</v>
      </c>
      <c r="G1063" t="s">
        <v>7</v>
      </c>
      <c r="H1063" t="s">
        <v>217</v>
      </c>
      <c r="I1063" t="s">
        <v>217</v>
      </c>
      <c r="J1063" t="s">
        <v>7</v>
      </c>
      <c r="K1063" t="str">
        <f t="shared" si="16"/>
        <v>04230461</v>
      </c>
      <c r="L1063">
        <v>68001000</v>
      </c>
      <c r="M1063">
        <v>11001000</v>
      </c>
    </row>
    <row r="1064" spans="1:13">
      <c r="A1064" t="s">
        <v>186</v>
      </c>
      <c r="B1064" t="s">
        <v>262</v>
      </c>
      <c r="C1064" t="s">
        <v>167</v>
      </c>
      <c r="D1064" t="s">
        <v>298</v>
      </c>
      <c r="E1064" t="s">
        <v>237</v>
      </c>
      <c r="F1064" t="s">
        <v>238</v>
      </c>
      <c r="G1064" t="s">
        <v>7</v>
      </c>
      <c r="H1064" t="s">
        <v>217</v>
      </c>
      <c r="I1064" t="s">
        <v>217</v>
      </c>
      <c r="J1064" t="s">
        <v>7</v>
      </c>
      <c r="K1064" t="str">
        <f t="shared" si="16"/>
        <v>02390448</v>
      </c>
      <c r="L1064">
        <v>44001000</v>
      </c>
      <c r="M1064">
        <v>20001000</v>
      </c>
    </row>
    <row r="1065" spans="1:13">
      <c r="A1065" t="s">
        <v>185</v>
      </c>
      <c r="B1065" t="s">
        <v>257</v>
      </c>
      <c r="C1065" t="s">
        <v>124</v>
      </c>
      <c r="D1065" t="s">
        <v>242</v>
      </c>
      <c r="E1065" t="s">
        <v>237</v>
      </c>
      <c r="F1065" t="s">
        <v>238</v>
      </c>
      <c r="G1065" t="s">
        <v>7</v>
      </c>
      <c r="H1065" t="s">
        <v>217</v>
      </c>
      <c r="I1065" t="s">
        <v>217</v>
      </c>
      <c r="J1065" t="s">
        <v>7</v>
      </c>
      <c r="K1065" t="str">
        <f t="shared" si="16"/>
        <v>00800092</v>
      </c>
      <c r="L1065">
        <v>5042000</v>
      </c>
      <c r="M1065">
        <v>5001000</v>
      </c>
    </row>
    <row r="1066" spans="1:13">
      <c r="A1066" t="s">
        <v>156</v>
      </c>
      <c r="B1066" t="s">
        <v>244</v>
      </c>
      <c r="C1066" t="s">
        <v>136</v>
      </c>
      <c r="D1066" t="s">
        <v>276</v>
      </c>
      <c r="E1066" t="s">
        <v>237</v>
      </c>
      <c r="F1066" t="s">
        <v>238</v>
      </c>
      <c r="G1066" t="s">
        <v>7</v>
      </c>
      <c r="H1066" t="s">
        <v>217</v>
      </c>
      <c r="I1066" t="s">
        <v>217</v>
      </c>
      <c r="J1066" t="s">
        <v>7</v>
      </c>
      <c r="K1066" t="str">
        <f t="shared" si="16"/>
        <v>01180074</v>
      </c>
      <c r="L1066">
        <v>47001000</v>
      </c>
      <c r="M1066">
        <v>5001000</v>
      </c>
    </row>
    <row r="1067" spans="1:13">
      <c r="A1067" t="s">
        <v>156</v>
      </c>
      <c r="B1067" t="s">
        <v>244</v>
      </c>
      <c r="C1067" t="s">
        <v>137</v>
      </c>
      <c r="D1067" t="s">
        <v>302</v>
      </c>
      <c r="E1067" t="s">
        <v>237</v>
      </c>
      <c r="F1067" t="s">
        <v>238</v>
      </c>
      <c r="G1067" t="s">
        <v>7</v>
      </c>
      <c r="H1067" t="s">
        <v>217</v>
      </c>
      <c r="I1067" t="s">
        <v>217</v>
      </c>
      <c r="J1067" t="s">
        <v>7</v>
      </c>
      <c r="K1067" t="str">
        <f t="shared" si="16"/>
        <v>01180460</v>
      </c>
      <c r="L1067">
        <v>47001000</v>
      </c>
      <c r="M1067">
        <v>11001000</v>
      </c>
    </row>
    <row r="1068" spans="1:13">
      <c r="A1068" t="s">
        <v>146</v>
      </c>
      <c r="B1068" t="s">
        <v>272</v>
      </c>
      <c r="C1068" t="s">
        <v>139</v>
      </c>
      <c r="D1068" t="s">
        <v>273</v>
      </c>
      <c r="E1068" t="s">
        <v>237</v>
      </c>
      <c r="F1068" t="s">
        <v>238</v>
      </c>
      <c r="G1068" t="s">
        <v>7</v>
      </c>
      <c r="H1068" t="s">
        <v>217</v>
      </c>
      <c r="I1068" t="s">
        <v>217</v>
      </c>
      <c r="J1068" t="s">
        <v>7</v>
      </c>
      <c r="K1068" t="str">
        <f t="shared" si="16"/>
        <v>03960397</v>
      </c>
      <c r="L1068">
        <v>52835000</v>
      </c>
      <c r="M1068">
        <v>52356000</v>
      </c>
    </row>
    <row r="1069" spans="1:13">
      <c r="A1069" t="s">
        <v>163</v>
      </c>
      <c r="B1069" t="s">
        <v>275</v>
      </c>
      <c r="C1069" t="s">
        <v>152</v>
      </c>
      <c r="D1069" t="s">
        <v>252</v>
      </c>
      <c r="E1069" t="s">
        <v>237</v>
      </c>
      <c r="F1069" t="s">
        <v>238</v>
      </c>
      <c r="G1069" t="s">
        <v>7</v>
      </c>
      <c r="H1069" t="s">
        <v>217</v>
      </c>
      <c r="I1069" t="s">
        <v>217</v>
      </c>
      <c r="J1069" t="s">
        <v>7</v>
      </c>
      <c r="K1069" t="str">
        <f t="shared" si="16"/>
        <v>00320411</v>
      </c>
      <c r="L1069">
        <v>25899000</v>
      </c>
      <c r="M1069">
        <v>76001000</v>
      </c>
    </row>
    <row r="1070" spans="1:13">
      <c r="A1070" t="s">
        <v>163</v>
      </c>
      <c r="B1070" t="s">
        <v>275</v>
      </c>
      <c r="C1070" t="s">
        <v>128</v>
      </c>
      <c r="D1070" t="s">
        <v>301</v>
      </c>
      <c r="E1070" t="s">
        <v>237</v>
      </c>
      <c r="F1070" t="s">
        <v>238</v>
      </c>
      <c r="G1070" t="s">
        <v>7</v>
      </c>
      <c r="H1070" t="s">
        <v>217</v>
      </c>
      <c r="I1070" t="s">
        <v>217</v>
      </c>
      <c r="J1070" t="s">
        <v>7</v>
      </c>
      <c r="K1070" t="str">
        <f t="shared" si="16"/>
        <v>00320461</v>
      </c>
      <c r="L1070">
        <v>25899000</v>
      </c>
      <c r="M1070">
        <v>11001000</v>
      </c>
    </row>
    <row r="1071" spans="1:13">
      <c r="A1071" t="s">
        <v>128</v>
      </c>
      <c r="B1071" t="s">
        <v>301</v>
      </c>
      <c r="C1071" t="s">
        <v>167</v>
      </c>
      <c r="D1071" t="s">
        <v>298</v>
      </c>
      <c r="E1071" t="s">
        <v>237</v>
      </c>
      <c r="F1071" t="s">
        <v>238</v>
      </c>
      <c r="G1071" t="s">
        <v>7</v>
      </c>
      <c r="H1071" t="s">
        <v>217</v>
      </c>
      <c r="I1071" t="s">
        <v>217</v>
      </c>
      <c r="J1071" t="s">
        <v>7</v>
      </c>
      <c r="K1071" t="str">
        <f t="shared" si="16"/>
        <v>04610448</v>
      </c>
      <c r="L1071">
        <v>11001000</v>
      </c>
      <c r="M1071">
        <v>20001000</v>
      </c>
    </row>
    <row r="1072" spans="1:13">
      <c r="A1072" t="s">
        <v>120</v>
      </c>
      <c r="B1072" t="s">
        <v>292</v>
      </c>
      <c r="C1072" t="s">
        <v>176</v>
      </c>
      <c r="D1072" t="s">
        <v>261</v>
      </c>
      <c r="E1072" t="s">
        <v>237</v>
      </c>
      <c r="F1072" t="s">
        <v>238</v>
      </c>
      <c r="G1072" t="s">
        <v>7</v>
      </c>
      <c r="H1072" t="s">
        <v>217</v>
      </c>
      <c r="I1072" t="s">
        <v>217</v>
      </c>
      <c r="J1072" t="s">
        <v>7</v>
      </c>
      <c r="K1072" t="str">
        <f t="shared" si="16"/>
        <v>04220146</v>
      </c>
      <c r="L1072">
        <v>68001000</v>
      </c>
      <c r="M1072">
        <v>17001000</v>
      </c>
    </row>
    <row r="1073" spans="1:13">
      <c r="A1073" t="s">
        <v>120</v>
      </c>
      <c r="B1073" t="s">
        <v>292</v>
      </c>
      <c r="C1073" t="s">
        <v>189</v>
      </c>
      <c r="D1073" t="s">
        <v>296</v>
      </c>
      <c r="E1073" t="s">
        <v>237</v>
      </c>
      <c r="F1073" t="s">
        <v>238</v>
      </c>
      <c r="G1073" t="s">
        <v>7</v>
      </c>
      <c r="H1073" t="s">
        <v>217</v>
      </c>
      <c r="I1073" t="s">
        <v>217</v>
      </c>
      <c r="J1073" t="s">
        <v>7</v>
      </c>
      <c r="K1073" t="str">
        <f t="shared" si="16"/>
        <v>04220439</v>
      </c>
      <c r="L1073">
        <v>68547000</v>
      </c>
      <c r="M1073">
        <v>54001000</v>
      </c>
    </row>
    <row r="1074" spans="1:13">
      <c r="A1074" t="s">
        <v>120</v>
      </c>
      <c r="B1074" t="s">
        <v>292</v>
      </c>
      <c r="C1074" t="s">
        <v>185</v>
      </c>
      <c r="D1074" t="s">
        <v>257</v>
      </c>
      <c r="E1074" t="s">
        <v>237</v>
      </c>
      <c r="F1074" t="s">
        <v>238</v>
      </c>
      <c r="G1074" t="s">
        <v>7</v>
      </c>
      <c r="H1074" t="s">
        <v>217</v>
      </c>
      <c r="I1074" t="s">
        <v>217</v>
      </c>
      <c r="J1074" t="s">
        <v>7</v>
      </c>
      <c r="K1074" t="str">
        <f t="shared" si="16"/>
        <v>04220080</v>
      </c>
      <c r="L1074">
        <v>68547000</v>
      </c>
      <c r="M1074">
        <v>5001000</v>
      </c>
    </row>
    <row r="1075" spans="1:13">
      <c r="A1075" t="s">
        <v>149</v>
      </c>
      <c r="B1075" t="s">
        <v>286</v>
      </c>
      <c r="C1075" t="s">
        <v>137</v>
      </c>
      <c r="D1075" t="s">
        <v>302</v>
      </c>
      <c r="E1075" t="s">
        <v>237</v>
      </c>
      <c r="F1075" t="s">
        <v>238</v>
      </c>
      <c r="G1075" t="s">
        <v>7</v>
      </c>
      <c r="H1075" t="s">
        <v>217</v>
      </c>
      <c r="I1075" t="s">
        <v>217</v>
      </c>
      <c r="J1075" t="s">
        <v>7</v>
      </c>
      <c r="K1075" t="str">
        <f t="shared" si="16"/>
        <v>04470460</v>
      </c>
      <c r="L1075">
        <v>20001000</v>
      </c>
      <c r="M1075">
        <v>11001000</v>
      </c>
    </row>
    <row r="1076" spans="1:13">
      <c r="A1076" t="s">
        <v>116</v>
      </c>
      <c r="B1076" t="s">
        <v>235</v>
      </c>
      <c r="C1076" t="s">
        <v>188</v>
      </c>
      <c r="D1076" t="s">
        <v>259</v>
      </c>
      <c r="E1076" t="s">
        <v>237</v>
      </c>
      <c r="F1076" t="s">
        <v>238</v>
      </c>
      <c r="G1076" t="s">
        <v>7</v>
      </c>
      <c r="H1076" t="s">
        <v>217</v>
      </c>
      <c r="I1076" t="s">
        <v>217</v>
      </c>
      <c r="J1076" t="s">
        <v>7</v>
      </c>
      <c r="K1076" t="str">
        <f t="shared" si="16"/>
        <v>00210033</v>
      </c>
      <c r="L1076">
        <v>11001000</v>
      </c>
      <c r="M1076">
        <v>15322000</v>
      </c>
    </row>
    <row r="1077" spans="1:13">
      <c r="A1077" t="s">
        <v>116</v>
      </c>
      <c r="B1077" t="s">
        <v>235</v>
      </c>
      <c r="C1077" t="s">
        <v>173</v>
      </c>
      <c r="D1077" t="s">
        <v>300</v>
      </c>
      <c r="E1077" t="s">
        <v>237</v>
      </c>
      <c r="F1077" t="s">
        <v>238</v>
      </c>
      <c r="G1077" t="s">
        <v>7</v>
      </c>
      <c r="H1077" t="s">
        <v>217</v>
      </c>
      <c r="I1077" t="s">
        <v>217</v>
      </c>
      <c r="J1077" t="s">
        <v>7</v>
      </c>
      <c r="K1077" t="str">
        <f t="shared" si="16"/>
        <v>00210433</v>
      </c>
      <c r="L1077">
        <v>11001000</v>
      </c>
      <c r="M1077">
        <v>5579000</v>
      </c>
    </row>
    <row r="1078" spans="1:13">
      <c r="A1078" t="s">
        <v>116</v>
      </c>
      <c r="B1078" t="s">
        <v>235</v>
      </c>
      <c r="C1078" t="s">
        <v>146</v>
      </c>
      <c r="D1078" t="s">
        <v>272</v>
      </c>
      <c r="E1078" t="s">
        <v>237</v>
      </c>
      <c r="F1078" t="s">
        <v>238</v>
      </c>
      <c r="G1078" t="s">
        <v>7</v>
      </c>
      <c r="H1078" t="s">
        <v>217</v>
      </c>
      <c r="I1078" t="s">
        <v>217</v>
      </c>
      <c r="J1078" t="s">
        <v>7</v>
      </c>
      <c r="K1078" t="str">
        <f t="shared" si="16"/>
        <v>00210396</v>
      </c>
      <c r="L1078">
        <v>11001000</v>
      </c>
      <c r="M1078">
        <v>52835000</v>
      </c>
    </row>
    <row r="1079" spans="1:13">
      <c r="A1079" t="s">
        <v>122</v>
      </c>
      <c r="B1079" t="s">
        <v>289</v>
      </c>
      <c r="C1079" t="s">
        <v>166</v>
      </c>
      <c r="D1079" t="s">
        <v>246</v>
      </c>
      <c r="E1079" t="s">
        <v>237</v>
      </c>
      <c r="F1079" t="s">
        <v>238</v>
      </c>
      <c r="G1079" t="s">
        <v>7</v>
      </c>
      <c r="H1079" t="s">
        <v>217</v>
      </c>
      <c r="I1079" t="s">
        <v>217</v>
      </c>
      <c r="J1079" t="s">
        <v>7</v>
      </c>
      <c r="K1079" t="str">
        <f t="shared" si="16"/>
        <v>03850131</v>
      </c>
      <c r="L1079">
        <v>41001000</v>
      </c>
      <c r="M1079">
        <v>76109000</v>
      </c>
    </row>
    <row r="1080" spans="1:13">
      <c r="A1080" t="s">
        <v>135</v>
      </c>
      <c r="B1080" t="s">
        <v>290</v>
      </c>
      <c r="C1080" t="s">
        <v>157</v>
      </c>
      <c r="D1080" t="s">
        <v>288</v>
      </c>
      <c r="E1080" t="s">
        <v>237</v>
      </c>
      <c r="F1080" t="s">
        <v>238</v>
      </c>
      <c r="G1080" t="s">
        <v>7</v>
      </c>
      <c r="H1080" t="s">
        <v>217</v>
      </c>
      <c r="I1080" t="s">
        <v>217</v>
      </c>
      <c r="J1080" t="s">
        <v>7</v>
      </c>
      <c r="K1080" t="str">
        <f t="shared" si="16"/>
        <v>03930446</v>
      </c>
      <c r="L1080">
        <v>50001000</v>
      </c>
      <c r="M1080">
        <v>15238000</v>
      </c>
    </row>
    <row r="1081" spans="1:13">
      <c r="A1081" t="s">
        <v>135</v>
      </c>
      <c r="B1081" t="s">
        <v>290</v>
      </c>
      <c r="C1081" t="s">
        <v>152</v>
      </c>
      <c r="D1081" t="s">
        <v>252</v>
      </c>
      <c r="E1081" t="s">
        <v>237</v>
      </c>
      <c r="F1081" t="s">
        <v>238</v>
      </c>
      <c r="G1081" t="s">
        <v>7</v>
      </c>
      <c r="H1081" t="s">
        <v>217</v>
      </c>
      <c r="I1081" t="s">
        <v>217</v>
      </c>
      <c r="J1081" t="s">
        <v>7</v>
      </c>
      <c r="K1081" t="str">
        <f t="shared" si="16"/>
        <v>03930411</v>
      </c>
      <c r="L1081">
        <v>50001000</v>
      </c>
      <c r="M1081">
        <v>76111000</v>
      </c>
    </row>
    <row r="1082" spans="1:13">
      <c r="A1082" t="s">
        <v>135</v>
      </c>
      <c r="B1082" t="s">
        <v>290</v>
      </c>
      <c r="C1082" t="s">
        <v>158</v>
      </c>
      <c r="D1082" t="s">
        <v>284</v>
      </c>
      <c r="E1082" t="s">
        <v>237</v>
      </c>
      <c r="F1082" t="s">
        <v>238</v>
      </c>
      <c r="G1082" t="s">
        <v>7</v>
      </c>
      <c r="H1082" t="s">
        <v>217</v>
      </c>
      <c r="I1082" t="s">
        <v>217</v>
      </c>
      <c r="J1082" t="s">
        <v>7</v>
      </c>
      <c r="K1082" t="str">
        <f t="shared" si="16"/>
        <v>03930444</v>
      </c>
      <c r="L1082">
        <v>50001000</v>
      </c>
      <c r="M1082">
        <v>15238000</v>
      </c>
    </row>
    <row r="1083" spans="1:13">
      <c r="A1083" t="s">
        <v>135</v>
      </c>
      <c r="B1083" t="s">
        <v>290</v>
      </c>
      <c r="C1083" t="s">
        <v>126</v>
      </c>
      <c r="D1083" t="s">
        <v>267</v>
      </c>
      <c r="E1083" t="s">
        <v>237</v>
      </c>
      <c r="F1083" t="s">
        <v>238</v>
      </c>
      <c r="G1083" t="s">
        <v>7</v>
      </c>
      <c r="H1083" t="s">
        <v>217</v>
      </c>
      <c r="I1083" t="s">
        <v>217</v>
      </c>
      <c r="J1083" t="s">
        <v>7</v>
      </c>
      <c r="K1083" t="str">
        <f t="shared" si="16"/>
        <v>03930389</v>
      </c>
      <c r="L1083">
        <v>50001000</v>
      </c>
      <c r="M1083">
        <v>73001000</v>
      </c>
    </row>
    <row r="1084" spans="1:13">
      <c r="A1084" t="s">
        <v>135</v>
      </c>
      <c r="B1084" t="s">
        <v>290</v>
      </c>
      <c r="C1084" t="s">
        <v>171</v>
      </c>
      <c r="D1084" t="s">
        <v>269</v>
      </c>
      <c r="E1084" t="s">
        <v>237</v>
      </c>
      <c r="F1084" t="s">
        <v>238</v>
      </c>
      <c r="G1084" t="s">
        <v>7</v>
      </c>
      <c r="H1084" t="s">
        <v>217</v>
      </c>
      <c r="I1084" t="s">
        <v>217</v>
      </c>
      <c r="J1084" t="s">
        <v>7</v>
      </c>
      <c r="K1084" t="str">
        <f t="shared" si="16"/>
        <v>03930391</v>
      </c>
      <c r="L1084">
        <v>50001000</v>
      </c>
      <c r="M1084">
        <v>11001000</v>
      </c>
    </row>
    <row r="1085" spans="1:13">
      <c r="A1085" t="s">
        <v>135</v>
      </c>
      <c r="B1085" t="s">
        <v>290</v>
      </c>
      <c r="C1085" t="s">
        <v>170</v>
      </c>
      <c r="D1085" t="s">
        <v>270</v>
      </c>
      <c r="E1085" t="s">
        <v>237</v>
      </c>
      <c r="F1085" t="s">
        <v>238</v>
      </c>
      <c r="G1085" t="s">
        <v>7</v>
      </c>
      <c r="H1085" t="s">
        <v>217</v>
      </c>
      <c r="I1085" t="s">
        <v>217</v>
      </c>
      <c r="J1085" t="s">
        <v>7</v>
      </c>
      <c r="K1085" t="str">
        <f t="shared" si="16"/>
        <v>03930392</v>
      </c>
      <c r="L1085">
        <v>50001000</v>
      </c>
      <c r="M1085">
        <v>73001000</v>
      </c>
    </row>
    <row r="1086" spans="1:13">
      <c r="A1086" t="s">
        <v>135</v>
      </c>
      <c r="B1086" t="s">
        <v>290</v>
      </c>
      <c r="C1086" t="s">
        <v>180</v>
      </c>
      <c r="D1086" t="s">
        <v>240</v>
      </c>
      <c r="E1086" t="s">
        <v>237</v>
      </c>
      <c r="F1086" t="s">
        <v>238</v>
      </c>
      <c r="G1086" t="s">
        <v>7</v>
      </c>
      <c r="H1086" t="s">
        <v>217</v>
      </c>
      <c r="I1086" t="s">
        <v>217</v>
      </c>
      <c r="J1086" t="s">
        <v>7</v>
      </c>
      <c r="K1086" t="str">
        <f t="shared" si="16"/>
        <v>03930025</v>
      </c>
      <c r="L1086">
        <v>50001000</v>
      </c>
      <c r="M1086">
        <v>11001000</v>
      </c>
    </row>
    <row r="1087" spans="1:13">
      <c r="A1087" t="s">
        <v>130</v>
      </c>
      <c r="B1087" t="s">
        <v>247</v>
      </c>
      <c r="C1087" t="s">
        <v>126</v>
      </c>
      <c r="D1087" t="s">
        <v>267</v>
      </c>
      <c r="E1087" t="s">
        <v>237</v>
      </c>
      <c r="F1087" t="s">
        <v>238</v>
      </c>
      <c r="G1087" t="s">
        <v>7</v>
      </c>
      <c r="H1087" t="s">
        <v>217</v>
      </c>
      <c r="I1087" t="s">
        <v>217</v>
      </c>
      <c r="J1087" t="s">
        <v>7</v>
      </c>
      <c r="K1087" t="str">
        <f t="shared" si="16"/>
        <v>01340389</v>
      </c>
      <c r="L1087">
        <v>66170000</v>
      </c>
      <c r="M1087">
        <v>73001000</v>
      </c>
    </row>
    <row r="1088" spans="1:13">
      <c r="A1088" t="s">
        <v>130</v>
      </c>
      <c r="B1088" t="s">
        <v>247</v>
      </c>
      <c r="C1088" t="s">
        <v>171</v>
      </c>
      <c r="D1088" t="s">
        <v>269</v>
      </c>
      <c r="E1088" t="s">
        <v>237</v>
      </c>
      <c r="F1088" t="s">
        <v>238</v>
      </c>
      <c r="G1088" t="s">
        <v>7</v>
      </c>
      <c r="H1088" t="s">
        <v>217</v>
      </c>
      <c r="I1088" t="s">
        <v>217</v>
      </c>
      <c r="J1088" t="s">
        <v>7</v>
      </c>
      <c r="K1088" t="str">
        <f t="shared" si="16"/>
        <v>01340391</v>
      </c>
      <c r="L1088">
        <v>66170000</v>
      </c>
      <c r="M1088">
        <v>11001000</v>
      </c>
    </row>
    <row r="1089" spans="1:13">
      <c r="A1089" t="s">
        <v>117</v>
      </c>
      <c r="B1089" t="s">
        <v>251</v>
      </c>
      <c r="C1089" t="s">
        <v>179</v>
      </c>
      <c r="D1089" t="s">
        <v>304</v>
      </c>
      <c r="E1089" t="s">
        <v>237</v>
      </c>
      <c r="F1089" t="s">
        <v>238</v>
      </c>
      <c r="G1089" t="s">
        <v>7</v>
      </c>
      <c r="H1089" t="s">
        <v>217</v>
      </c>
      <c r="I1089" t="s">
        <v>217</v>
      </c>
      <c r="J1089" t="s">
        <v>7</v>
      </c>
      <c r="K1089" t="str">
        <f t="shared" si="16"/>
        <v>04100463</v>
      </c>
      <c r="L1089">
        <v>76892000</v>
      </c>
      <c r="M1089">
        <v>11001000</v>
      </c>
    </row>
    <row r="1090" spans="1:13">
      <c r="A1090" t="s">
        <v>122</v>
      </c>
      <c r="B1090" t="s">
        <v>289</v>
      </c>
      <c r="C1090" t="s">
        <v>141</v>
      </c>
      <c r="D1090" t="s">
        <v>250</v>
      </c>
      <c r="E1090" t="s">
        <v>237</v>
      </c>
      <c r="F1090" t="s">
        <v>238</v>
      </c>
      <c r="G1090" t="s">
        <v>7</v>
      </c>
      <c r="H1090" t="s">
        <v>217</v>
      </c>
      <c r="I1090" t="s">
        <v>217</v>
      </c>
      <c r="J1090" t="s">
        <v>7</v>
      </c>
      <c r="K1090" t="str">
        <f t="shared" si="16"/>
        <v>03850198</v>
      </c>
      <c r="L1090">
        <v>41001000</v>
      </c>
      <c r="M1090">
        <v>66001000</v>
      </c>
    </row>
    <row r="1091" spans="1:13">
      <c r="A1091" t="s">
        <v>131</v>
      </c>
      <c r="B1091" t="s">
        <v>278</v>
      </c>
      <c r="C1091" t="s">
        <v>177</v>
      </c>
      <c r="D1091" t="s">
        <v>264</v>
      </c>
      <c r="E1091" t="s">
        <v>237</v>
      </c>
      <c r="F1091" t="s">
        <v>238</v>
      </c>
      <c r="G1091" t="s">
        <v>7</v>
      </c>
      <c r="H1091" t="s">
        <v>217</v>
      </c>
      <c r="I1091" t="s">
        <v>217</v>
      </c>
      <c r="J1091" t="s">
        <v>7</v>
      </c>
      <c r="K1091" t="str">
        <f t="shared" ref="K1091:K1154" si="17">A1091&amp;C1091</f>
        <v>00350386</v>
      </c>
      <c r="L1091">
        <v>25799000</v>
      </c>
      <c r="M1091">
        <v>73001000</v>
      </c>
    </row>
    <row r="1092" spans="1:13">
      <c r="A1092" t="s">
        <v>131</v>
      </c>
      <c r="B1092" t="s">
        <v>278</v>
      </c>
      <c r="C1092" t="s">
        <v>176</v>
      </c>
      <c r="D1092" t="s">
        <v>261</v>
      </c>
      <c r="E1092" t="s">
        <v>237</v>
      </c>
      <c r="F1092" t="s">
        <v>238</v>
      </c>
      <c r="G1092" t="s">
        <v>7</v>
      </c>
      <c r="H1092" t="s">
        <v>217</v>
      </c>
      <c r="I1092" t="s">
        <v>217</v>
      </c>
      <c r="J1092" t="s">
        <v>7</v>
      </c>
      <c r="K1092" t="str">
        <f t="shared" si="17"/>
        <v>00350146</v>
      </c>
      <c r="L1092">
        <v>11001000</v>
      </c>
      <c r="M1092">
        <v>17001000</v>
      </c>
    </row>
    <row r="1093" spans="1:13">
      <c r="A1093" t="s">
        <v>123</v>
      </c>
      <c r="B1093" t="s">
        <v>263</v>
      </c>
      <c r="C1093" t="s">
        <v>133</v>
      </c>
      <c r="D1093" t="s">
        <v>241</v>
      </c>
      <c r="E1093" t="s">
        <v>237</v>
      </c>
      <c r="F1093" t="s">
        <v>238</v>
      </c>
      <c r="G1093" t="s">
        <v>7</v>
      </c>
      <c r="H1093" t="s">
        <v>217</v>
      </c>
      <c r="I1093" t="s">
        <v>217</v>
      </c>
      <c r="J1093" t="s">
        <v>7</v>
      </c>
      <c r="K1093" t="str">
        <f t="shared" si="17"/>
        <v>02920090</v>
      </c>
      <c r="L1093">
        <v>5360000</v>
      </c>
      <c r="M1093">
        <v>5615000</v>
      </c>
    </row>
    <row r="1094" spans="1:13">
      <c r="A1094" t="s">
        <v>163</v>
      </c>
      <c r="B1094" t="s">
        <v>275</v>
      </c>
      <c r="C1094" t="s">
        <v>147</v>
      </c>
      <c r="D1094" t="s">
        <v>236</v>
      </c>
      <c r="E1094" t="s">
        <v>237</v>
      </c>
      <c r="F1094" t="s">
        <v>238</v>
      </c>
      <c r="G1094" t="s">
        <v>7</v>
      </c>
      <c r="H1094" t="s">
        <v>217</v>
      </c>
      <c r="I1094" t="s">
        <v>217</v>
      </c>
      <c r="J1094" t="s">
        <v>7</v>
      </c>
      <c r="K1094" t="str">
        <f t="shared" si="17"/>
        <v>00320022</v>
      </c>
      <c r="L1094">
        <v>25899000</v>
      </c>
      <c r="M1094">
        <v>25430000</v>
      </c>
    </row>
    <row r="1095" spans="1:13">
      <c r="A1095" t="s">
        <v>180</v>
      </c>
      <c r="B1095" t="s">
        <v>240</v>
      </c>
      <c r="C1095" t="s">
        <v>116</v>
      </c>
      <c r="D1095" t="s">
        <v>235</v>
      </c>
      <c r="E1095" t="s">
        <v>237</v>
      </c>
      <c r="F1095" t="s">
        <v>238</v>
      </c>
      <c r="G1095" t="s">
        <v>7</v>
      </c>
      <c r="H1095" t="s">
        <v>217</v>
      </c>
      <c r="I1095" t="s">
        <v>217</v>
      </c>
      <c r="J1095" t="s">
        <v>7</v>
      </c>
      <c r="K1095" t="str">
        <f t="shared" si="17"/>
        <v>00250021</v>
      </c>
      <c r="L1095">
        <v>25875000</v>
      </c>
      <c r="M1095">
        <v>11001000</v>
      </c>
    </row>
    <row r="1096" spans="1:13">
      <c r="A1096" t="s">
        <v>124</v>
      </c>
      <c r="B1096" t="s">
        <v>242</v>
      </c>
      <c r="C1096" t="s">
        <v>185</v>
      </c>
      <c r="D1096" t="s">
        <v>257</v>
      </c>
      <c r="E1096" t="s">
        <v>237</v>
      </c>
      <c r="F1096" t="s">
        <v>238</v>
      </c>
      <c r="G1096" t="s">
        <v>7</v>
      </c>
      <c r="H1096" t="s">
        <v>217</v>
      </c>
      <c r="I1096" t="s">
        <v>217</v>
      </c>
      <c r="J1096" t="s">
        <v>7</v>
      </c>
      <c r="K1096" t="str">
        <f t="shared" si="17"/>
        <v>00920080</v>
      </c>
      <c r="L1096">
        <v>5001000</v>
      </c>
      <c r="M1096">
        <v>5042000</v>
      </c>
    </row>
    <row r="1097" spans="1:13">
      <c r="A1097" t="s">
        <v>121</v>
      </c>
      <c r="B1097" t="s">
        <v>282</v>
      </c>
      <c r="C1097" t="s">
        <v>148</v>
      </c>
      <c r="D1097" t="s">
        <v>294</v>
      </c>
      <c r="E1097" t="s">
        <v>237</v>
      </c>
      <c r="F1097" t="s">
        <v>238</v>
      </c>
      <c r="G1097" t="s">
        <v>7</v>
      </c>
      <c r="H1097" t="s">
        <v>217</v>
      </c>
      <c r="I1097" t="s">
        <v>217</v>
      </c>
      <c r="J1097" t="s">
        <v>7</v>
      </c>
      <c r="K1097" t="str">
        <f t="shared" si="17"/>
        <v>04380437</v>
      </c>
      <c r="L1097">
        <v>54001000</v>
      </c>
      <c r="M1097">
        <v>20011000</v>
      </c>
    </row>
    <row r="1098" spans="1:13">
      <c r="A1098" t="s">
        <v>142</v>
      </c>
      <c r="B1098" t="s">
        <v>305</v>
      </c>
      <c r="C1098" t="s">
        <v>148</v>
      </c>
      <c r="D1098" t="s">
        <v>294</v>
      </c>
      <c r="E1098" t="s">
        <v>237</v>
      </c>
      <c r="F1098" t="s">
        <v>238</v>
      </c>
      <c r="G1098" t="s">
        <v>7</v>
      </c>
      <c r="H1098" t="s">
        <v>217</v>
      </c>
      <c r="I1098" t="s">
        <v>217</v>
      </c>
      <c r="J1098" t="s">
        <v>7</v>
      </c>
      <c r="K1098" t="str">
        <f t="shared" si="17"/>
        <v>00430437</v>
      </c>
      <c r="L1098">
        <v>5001000</v>
      </c>
      <c r="M1098">
        <v>20011000</v>
      </c>
    </row>
    <row r="1099" spans="1:13">
      <c r="A1099" t="s">
        <v>142</v>
      </c>
      <c r="B1099" t="s">
        <v>305</v>
      </c>
      <c r="C1099" t="s">
        <v>176</v>
      </c>
      <c r="D1099" t="s">
        <v>261</v>
      </c>
      <c r="E1099" t="s">
        <v>237</v>
      </c>
      <c r="F1099" t="s">
        <v>238</v>
      </c>
      <c r="G1099" t="s">
        <v>7</v>
      </c>
      <c r="H1099" t="s">
        <v>217</v>
      </c>
      <c r="I1099" t="s">
        <v>217</v>
      </c>
      <c r="J1099" t="s">
        <v>7</v>
      </c>
      <c r="K1099" t="str">
        <f t="shared" si="17"/>
        <v>00430146</v>
      </c>
      <c r="L1099">
        <v>5088000</v>
      </c>
      <c r="M1099">
        <v>17001000</v>
      </c>
    </row>
    <row r="1100" spans="1:13">
      <c r="A1100" t="s">
        <v>142</v>
      </c>
      <c r="B1100" t="s">
        <v>305</v>
      </c>
      <c r="C1100" t="s">
        <v>181</v>
      </c>
      <c r="D1100" t="s">
        <v>260</v>
      </c>
      <c r="E1100" t="s">
        <v>237</v>
      </c>
      <c r="F1100" t="s">
        <v>238</v>
      </c>
      <c r="G1100" t="s">
        <v>7</v>
      </c>
      <c r="H1100" t="s">
        <v>217</v>
      </c>
      <c r="I1100" t="s">
        <v>217</v>
      </c>
      <c r="J1100" t="s">
        <v>7</v>
      </c>
      <c r="K1100" t="str">
        <f t="shared" si="17"/>
        <v>00430119</v>
      </c>
      <c r="L1100">
        <v>5088000</v>
      </c>
      <c r="M1100">
        <v>47001000</v>
      </c>
    </row>
    <row r="1101" spans="1:13">
      <c r="A1101" t="s">
        <v>142</v>
      </c>
      <c r="B1101" t="s">
        <v>305</v>
      </c>
      <c r="C1101" t="s">
        <v>155</v>
      </c>
      <c r="D1101" t="s">
        <v>248</v>
      </c>
      <c r="E1101" t="s">
        <v>237</v>
      </c>
      <c r="F1101" t="s">
        <v>238</v>
      </c>
      <c r="G1101" t="s">
        <v>7</v>
      </c>
      <c r="H1101" t="s">
        <v>217</v>
      </c>
      <c r="I1101" t="s">
        <v>217</v>
      </c>
      <c r="J1101" t="s">
        <v>7</v>
      </c>
      <c r="K1101" t="str">
        <f t="shared" si="17"/>
        <v>00430142</v>
      </c>
      <c r="L1101">
        <v>5001000</v>
      </c>
      <c r="M1101">
        <v>63001000</v>
      </c>
    </row>
    <row r="1102" spans="1:13">
      <c r="A1102" t="s">
        <v>142</v>
      </c>
      <c r="B1102" t="s">
        <v>305</v>
      </c>
      <c r="C1102" t="s">
        <v>157</v>
      </c>
      <c r="D1102" t="s">
        <v>288</v>
      </c>
      <c r="E1102" t="s">
        <v>237</v>
      </c>
      <c r="F1102" t="s">
        <v>238</v>
      </c>
      <c r="G1102" t="s">
        <v>7</v>
      </c>
      <c r="H1102" t="s">
        <v>217</v>
      </c>
      <c r="I1102" t="s">
        <v>217</v>
      </c>
      <c r="J1102" t="s">
        <v>7</v>
      </c>
      <c r="K1102" t="str">
        <f t="shared" si="17"/>
        <v>00430446</v>
      </c>
      <c r="L1102">
        <v>5001000</v>
      </c>
      <c r="M1102">
        <v>15238000</v>
      </c>
    </row>
    <row r="1103" spans="1:13">
      <c r="A1103" t="s">
        <v>142</v>
      </c>
      <c r="B1103" t="s">
        <v>305</v>
      </c>
      <c r="C1103" t="s">
        <v>169</v>
      </c>
      <c r="D1103" t="s">
        <v>291</v>
      </c>
      <c r="E1103" t="s">
        <v>237</v>
      </c>
      <c r="F1103" t="s">
        <v>238</v>
      </c>
      <c r="G1103" t="s">
        <v>7</v>
      </c>
      <c r="H1103" t="s">
        <v>217</v>
      </c>
      <c r="I1103" t="s">
        <v>217</v>
      </c>
      <c r="J1103" t="s">
        <v>7</v>
      </c>
      <c r="K1103" t="str">
        <f t="shared" si="17"/>
        <v>00430449</v>
      </c>
      <c r="L1103">
        <v>5088000</v>
      </c>
      <c r="M1103">
        <v>47001000</v>
      </c>
    </row>
    <row r="1104" spans="1:13">
      <c r="A1104" t="s">
        <v>142</v>
      </c>
      <c r="B1104" t="s">
        <v>305</v>
      </c>
      <c r="C1104" t="s">
        <v>166</v>
      </c>
      <c r="D1104" t="s">
        <v>246</v>
      </c>
      <c r="E1104" t="s">
        <v>237</v>
      </c>
      <c r="F1104" t="s">
        <v>238</v>
      </c>
      <c r="G1104" t="s">
        <v>7</v>
      </c>
      <c r="H1104" t="s">
        <v>217</v>
      </c>
      <c r="I1104" t="s">
        <v>217</v>
      </c>
      <c r="J1104" t="s">
        <v>7</v>
      </c>
      <c r="K1104" t="str">
        <f t="shared" si="17"/>
        <v>00430131</v>
      </c>
      <c r="L1104">
        <v>5088000</v>
      </c>
      <c r="M1104">
        <v>76109000</v>
      </c>
    </row>
    <row r="1105" spans="1:13">
      <c r="A1105" t="s">
        <v>142</v>
      </c>
      <c r="B1105" t="s">
        <v>305</v>
      </c>
      <c r="C1105" t="s">
        <v>152</v>
      </c>
      <c r="D1105" t="s">
        <v>252</v>
      </c>
      <c r="E1105" t="s">
        <v>237</v>
      </c>
      <c r="F1105" t="s">
        <v>238</v>
      </c>
      <c r="G1105" t="s">
        <v>7</v>
      </c>
      <c r="H1105" t="s">
        <v>217</v>
      </c>
      <c r="I1105" t="s">
        <v>217</v>
      </c>
      <c r="J1105" t="s">
        <v>7</v>
      </c>
      <c r="K1105" t="str">
        <f t="shared" si="17"/>
        <v>00430411</v>
      </c>
      <c r="L1105">
        <v>5088000</v>
      </c>
      <c r="M1105">
        <v>76111000</v>
      </c>
    </row>
    <row r="1106" spans="1:13">
      <c r="A1106" t="s">
        <v>142</v>
      </c>
      <c r="B1106" t="s">
        <v>305</v>
      </c>
      <c r="C1106" t="s">
        <v>183</v>
      </c>
      <c r="D1106" t="s">
        <v>303</v>
      </c>
      <c r="E1106" t="s">
        <v>237</v>
      </c>
      <c r="F1106" t="s">
        <v>238</v>
      </c>
      <c r="G1106" t="s">
        <v>7</v>
      </c>
      <c r="H1106" t="s">
        <v>217</v>
      </c>
      <c r="I1106" t="s">
        <v>217</v>
      </c>
      <c r="J1106" t="s">
        <v>7</v>
      </c>
      <c r="K1106" t="str">
        <f t="shared" si="17"/>
        <v>00430462</v>
      </c>
      <c r="L1106">
        <v>5088000</v>
      </c>
      <c r="M1106">
        <v>11001000</v>
      </c>
    </row>
    <row r="1107" spans="1:13">
      <c r="A1107" t="s">
        <v>142</v>
      </c>
      <c r="B1107" t="s">
        <v>305</v>
      </c>
      <c r="C1107" t="s">
        <v>140</v>
      </c>
      <c r="D1107" t="s">
        <v>243</v>
      </c>
      <c r="E1107" t="s">
        <v>237</v>
      </c>
      <c r="F1107" t="s">
        <v>238</v>
      </c>
      <c r="G1107" t="s">
        <v>7</v>
      </c>
      <c r="H1107" t="s">
        <v>217</v>
      </c>
      <c r="I1107" t="s">
        <v>217</v>
      </c>
      <c r="J1107" t="s">
        <v>7</v>
      </c>
      <c r="K1107" t="str">
        <f t="shared" si="17"/>
        <v>00430113</v>
      </c>
      <c r="L1107">
        <v>5088000</v>
      </c>
      <c r="M1107">
        <v>13001000</v>
      </c>
    </row>
    <row r="1108" spans="1:13">
      <c r="A1108" t="s">
        <v>142</v>
      </c>
      <c r="B1108" t="s">
        <v>305</v>
      </c>
      <c r="C1108" t="s">
        <v>159</v>
      </c>
      <c r="D1108" t="s">
        <v>279</v>
      </c>
      <c r="E1108" t="s">
        <v>237</v>
      </c>
      <c r="F1108" t="s">
        <v>238</v>
      </c>
      <c r="G1108" t="s">
        <v>7</v>
      </c>
      <c r="H1108" t="s">
        <v>217</v>
      </c>
      <c r="I1108" t="s">
        <v>217</v>
      </c>
      <c r="J1108" t="s">
        <v>7</v>
      </c>
      <c r="K1108" t="str">
        <f t="shared" si="17"/>
        <v>00430384</v>
      </c>
      <c r="L1108">
        <v>5001000</v>
      </c>
      <c r="M1108">
        <v>5154000</v>
      </c>
    </row>
    <row r="1109" spans="1:13">
      <c r="A1109" t="s">
        <v>142</v>
      </c>
      <c r="B1109" t="s">
        <v>305</v>
      </c>
      <c r="C1109" t="s">
        <v>136</v>
      </c>
      <c r="D1109" t="s">
        <v>276</v>
      </c>
      <c r="E1109" t="s">
        <v>237</v>
      </c>
      <c r="F1109" t="s">
        <v>238</v>
      </c>
      <c r="G1109" t="s">
        <v>7</v>
      </c>
      <c r="H1109" t="s">
        <v>217</v>
      </c>
      <c r="I1109" t="s">
        <v>217</v>
      </c>
      <c r="J1109" t="s">
        <v>7</v>
      </c>
      <c r="K1109" t="str">
        <f t="shared" si="17"/>
        <v>00430074</v>
      </c>
      <c r="L1109">
        <v>5088000</v>
      </c>
      <c r="M1109">
        <v>5001000</v>
      </c>
    </row>
    <row r="1110" spans="1:13">
      <c r="A1110" t="s">
        <v>142</v>
      </c>
      <c r="B1110" t="s">
        <v>305</v>
      </c>
      <c r="C1110" t="s">
        <v>158</v>
      </c>
      <c r="D1110" t="s">
        <v>284</v>
      </c>
      <c r="E1110" t="s">
        <v>237</v>
      </c>
      <c r="F1110" t="s">
        <v>238</v>
      </c>
      <c r="G1110" t="s">
        <v>7</v>
      </c>
      <c r="H1110" t="s">
        <v>217</v>
      </c>
      <c r="I1110" t="s">
        <v>217</v>
      </c>
      <c r="J1110" t="s">
        <v>7</v>
      </c>
      <c r="K1110" t="str">
        <f t="shared" si="17"/>
        <v>00430444</v>
      </c>
      <c r="L1110">
        <v>5001000</v>
      </c>
      <c r="M1110">
        <v>15238000</v>
      </c>
    </row>
    <row r="1111" spans="1:13">
      <c r="A1111" t="s">
        <v>142</v>
      </c>
      <c r="B1111" t="s">
        <v>305</v>
      </c>
      <c r="C1111" t="s">
        <v>187</v>
      </c>
      <c r="D1111" t="s">
        <v>299</v>
      </c>
      <c r="E1111" t="s">
        <v>237</v>
      </c>
      <c r="F1111" t="s">
        <v>238</v>
      </c>
      <c r="G1111" t="s">
        <v>7</v>
      </c>
      <c r="H1111" t="s">
        <v>217</v>
      </c>
      <c r="I1111" t="s">
        <v>217</v>
      </c>
      <c r="J1111" t="s">
        <v>7</v>
      </c>
      <c r="K1111" t="str">
        <f t="shared" si="17"/>
        <v>00430436</v>
      </c>
      <c r="L1111">
        <v>5001000</v>
      </c>
      <c r="M1111">
        <v>20001000</v>
      </c>
    </row>
    <row r="1112" spans="1:13">
      <c r="A1112" t="s">
        <v>142</v>
      </c>
      <c r="B1112" t="s">
        <v>305</v>
      </c>
      <c r="C1112" t="s">
        <v>143</v>
      </c>
      <c r="D1112" t="s">
        <v>266</v>
      </c>
      <c r="E1112" t="s">
        <v>237</v>
      </c>
      <c r="F1112" t="s">
        <v>238</v>
      </c>
      <c r="G1112" t="s">
        <v>7</v>
      </c>
      <c r="H1112" t="s">
        <v>217</v>
      </c>
      <c r="I1112" t="s">
        <v>217</v>
      </c>
      <c r="J1112" t="s">
        <v>7</v>
      </c>
      <c r="K1112" t="str">
        <f t="shared" si="17"/>
        <v>00430388</v>
      </c>
      <c r="L1112">
        <v>5001000</v>
      </c>
      <c r="M1112">
        <v>18001000</v>
      </c>
    </row>
    <row r="1113" spans="1:13">
      <c r="A1113" t="s">
        <v>142</v>
      </c>
      <c r="B1113" t="s">
        <v>305</v>
      </c>
      <c r="C1113" t="s">
        <v>167</v>
      </c>
      <c r="D1113" t="s">
        <v>298</v>
      </c>
      <c r="E1113" t="s">
        <v>237</v>
      </c>
      <c r="F1113" t="s">
        <v>238</v>
      </c>
      <c r="G1113" t="s">
        <v>7</v>
      </c>
      <c r="H1113" t="s">
        <v>217</v>
      </c>
      <c r="I1113" t="s">
        <v>217</v>
      </c>
      <c r="J1113" t="s">
        <v>7</v>
      </c>
      <c r="K1113" t="str">
        <f t="shared" si="17"/>
        <v>00430448</v>
      </c>
      <c r="L1113">
        <v>5001000</v>
      </c>
      <c r="M1113">
        <v>20001000</v>
      </c>
    </row>
    <row r="1114" spans="1:13">
      <c r="A1114" t="s">
        <v>142</v>
      </c>
      <c r="B1114" t="s">
        <v>305</v>
      </c>
      <c r="C1114" t="s">
        <v>179</v>
      </c>
      <c r="D1114" t="s">
        <v>304</v>
      </c>
      <c r="E1114" t="s">
        <v>237</v>
      </c>
      <c r="F1114" t="s">
        <v>238</v>
      </c>
      <c r="G1114" t="s">
        <v>7</v>
      </c>
      <c r="H1114" t="s">
        <v>217</v>
      </c>
      <c r="I1114" t="s">
        <v>217</v>
      </c>
      <c r="J1114" t="s">
        <v>7</v>
      </c>
      <c r="K1114" t="str">
        <f t="shared" si="17"/>
        <v>00430463</v>
      </c>
      <c r="L1114">
        <v>5088000</v>
      </c>
      <c r="M1114">
        <v>11001000</v>
      </c>
    </row>
    <row r="1115" spans="1:13">
      <c r="A1115" t="s">
        <v>142</v>
      </c>
      <c r="B1115" t="s">
        <v>305</v>
      </c>
      <c r="C1115" t="s">
        <v>138</v>
      </c>
      <c r="D1115" t="s">
        <v>265</v>
      </c>
      <c r="E1115" t="s">
        <v>237</v>
      </c>
      <c r="F1115" t="s">
        <v>238</v>
      </c>
      <c r="G1115" t="s">
        <v>7</v>
      </c>
      <c r="H1115" t="s">
        <v>217</v>
      </c>
      <c r="I1115" t="s">
        <v>217</v>
      </c>
      <c r="J1115" t="s">
        <v>7</v>
      </c>
      <c r="K1115" t="str">
        <f t="shared" si="17"/>
        <v>00430387</v>
      </c>
      <c r="L1115">
        <v>5001000</v>
      </c>
      <c r="M1115">
        <v>41001000</v>
      </c>
    </row>
    <row r="1116" spans="1:13">
      <c r="A1116" t="s">
        <v>142</v>
      </c>
      <c r="B1116" t="s">
        <v>305</v>
      </c>
      <c r="C1116" t="s">
        <v>150</v>
      </c>
      <c r="D1116" t="s">
        <v>256</v>
      </c>
      <c r="E1116" t="s">
        <v>237</v>
      </c>
      <c r="F1116" t="s">
        <v>238</v>
      </c>
      <c r="G1116" t="s">
        <v>7</v>
      </c>
      <c r="H1116" t="s">
        <v>217</v>
      </c>
      <c r="I1116" t="s">
        <v>217</v>
      </c>
      <c r="J1116" t="s">
        <v>7</v>
      </c>
      <c r="K1116" t="str">
        <f t="shared" si="17"/>
        <v>00430394</v>
      </c>
      <c r="L1116">
        <v>5001000</v>
      </c>
      <c r="M1116">
        <v>50001000</v>
      </c>
    </row>
    <row r="1117" spans="1:13">
      <c r="A1117" t="s">
        <v>142</v>
      </c>
      <c r="B1117" t="s">
        <v>305</v>
      </c>
      <c r="C1117" t="s">
        <v>188</v>
      </c>
      <c r="D1117" t="s">
        <v>259</v>
      </c>
      <c r="E1117" t="s">
        <v>237</v>
      </c>
      <c r="F1117" t="s">
        <v>238</v>
      </c>
      <c r="G1117" t="s">
        <v>7</v>
      </c>
      <c r="H1117" t="s">
        <v>217</v>
      </c>
      <c r="I1117" t="s">
        <v>217</v>
      </c>
      <c r="J1117" t="s">
        <v>7</v>
      </c>
      <c r="K1117" t="str">
        <f t="shared" si="17"/>
        <v>00430033</v>
      </c>
      <c r="L1117">
        <v>5088000</v>
      </c>
      <c r="M1117">
        <v>11001000</v>
      </c>
    </row>
    <row r="1118" spans="1:13">
      <c r="A1118" t="s">
        <v>142</v>
      </c>
      <c r="B1118" t="s">
        <v>305</v>
      </c>
      <c r="C1118" t="s">
        <v>126</v>
      </c>
      <c r="D1118" t="s">
        <v>267</v>
      </c>
      <c r="E1118" t="s">
        <v>237</v>
      </c>
      <c r="F1118" t="s">
        <v>238</v>
      </c>
      <c r="G1118" t="s">
        <v>7</v>
      </c>
      <c r="H1118" t="s">
        <v>217</v>
      </c>
      <c r="I1118" t="s">
        <v>217</v>
      </c>
      <c r="J1118" t="s">
        <v>7</v>
      </c>
      <c r="K1118" t="str">
        <f t="shared" si="17"/>
        <v>00430389</v>
      </c>
      <c r="L1118">
        <v>5088000</v>
      </c>
      <c r="M1118">
        <v>73001000</v>
      </c>
    </row>
    <row r="1119" spans="1:13">
      <c r="A1119" t="s">
        <v>142</v>
      </c>
      <c r="B1119" t="s">
        <v>305</v>
      </c>
      <c r="C1119" t="s">
        <v>139</v>
      </c>
      <c r="D1119" t="s">
        <v>273</v>
      </c>
      <c r="E1119" t="s">
        <v>237</v>
      </c>
      <c r="F1119" t="s">
        <v>238</v>
      </c>
      <c r="G1119" t="s">
        <v>7</v>
      </c>
      <c r="H1119" t="s">
        <v>217</v>
      </c>
      <c r="I1119" t="s">
        <v>217</v>
      </c>
      <c r="J1119" t="s">
        <v>7</v>
      </c>
      <c r="K1119" t="str">
        <f t="shared" si="17"/>
        <v>00430397</v>
      </c>
      <c r="L1119">
        <v>5001000</v>
      </c>
      <c r="M1119">
        <v>52356000</v>
      </c>
    </row>
    <row r="1120" spans="1:13">
      <c r="A1120" t="s">
        <v>142</v>
      </c>
      <c r="B1120" t="s">
        <v>305</v>
      </c>
      <c r="C1120" t="s">
        <v>123</v>
      </c>
      <c r="D1120" t="s">
        <v>263</v>
      </c>
      <c r="E1120" t="s">
        <v>237</v>
      </c>
      <c r="F1120" t="s">
        <v>238</v>
      </c>
      <c r="G1120" t="s">
        <v>7</v>
      </c>
      <c r="H1120" t="s">
        <v>217</v>
      </c>
      <c r="I1120" t="s">
        <v>217</v>
      </c>
      <c r="J1120" t="s">
        <v>7</v>
      </c>
      <c r="K1120" t="str">
        <f t="shared" si="17"/>
        <v>00430292</v>
      </c>
      <c r="L1120">
        <v>5088000</v>
      </c>
      <c r="M1120">
        <v>5360000</v>
      </c>
    </row>
    <row r="1121" spans="1:13">
      <c r="A1121" t="s">
        <v>142</v>
      </c>
      <c r="B1121" t="s">
        <v>305</v>
      </c>
      <c r="C1121" t="s">
        <v>145</v>
      </c>
      <c r="D1121" t="s">
        <v>254</v>
      </c>
      <c r="E1121" t="s">
        <v>237</v>
      </c>
      <c r="F1121" t="s">
        <v>238</v>
      </c>
      <c r="G1121" t="s">
        <v>7</v>
      </c>
      <c r="H1121" t="s">
        <v>217</v>
      </c>
      <c r="I1121" t="s">
        <v>217</v>
      </c>
      <c r="J1121" t="s">
        <v>7</v>
      </c>
      <c r="K1121" t="str">
        <f t="shared" si="17"/>
        <v>00430358</v>
      </c>
      <c r="L1121">
        <v>5088000</v>
      </c>
      <c r="M1121">
        <v>76001000</v>
      </c>
    </row>
    <row r="1122" spans="1:13">
      <c r="A1122" t="s">
        <v>142</v>
      </c>
      <c r="B1122" t="s">
        <v>305</v>
      </c>
      <c r="C1122" t="s">
        <v>171</v>
      </c>
      <c r="D1122" t="s">
        <v>269</v>
      </c>
      <c r="E1122" t="s">
        <v>237</v>
      </c>
      <c r="F1122" t="s">
        <v>238</v>
      </c>
      <c r="G1122" t="s">
        <v>7</v>
      </c>
      <c r="H1122" t="s">
        <v>217</v>
      </c>
      <c r="I1122" t="s">
        <v>217</v>
      </c>
      <c r="J1122" t="s">
        <v>7</v>
      </c>
      <c r="K1122" t="str">
        <f t="shared" si="17"/>
        <v>00430391</v>
      </c>
      <c r="L1122">
        <v>5088000</v>
      </c>
      <c r="M1122">
        <v>11001000</v>
      </c>
    </row>
    <row r="1123" spans="1:13">
      <c r="A1123" t="s">
        <v>142</v>
      </c>
      <c r="B1123" t="s">
        <v>305</v>
      </c>
      <c r="C1123" t="s">
        <v>184</v>
      </c>
      <c r="D1123" t="s">
        <v>239</v>
      </c>
      <c r="E1123" t="s">
        <v>237</v>
      </c>
      <c r="F1123" t="s">
        <v>238</v>
      </c>
      <c r="G1123" t="s">
        <v>7</v>
      </c>
      <c r="H1123" t="s">
        <v>217</v>
      </c>
      <c r="I1123" t="s">
        <v>217</v>
      </c>
      <c r="J1123" t="s">
        <v>7</v>
      </c>
      <c r="K1123" t="str">
        <f t="shared" si="17"/>
        <v>00430024</v>
      </c>
      <c r="L1123">
        <v>5088000</v>
      </c>
      <c r="M1123">
        <v>11001000</v>
      </c>
    </row>
    <row r="1124" spans="1:13">
      <c r="A1124" t="s">
        <v>142</v>
      </c>
      <c r="B1124" t="s">
        <v>305</v>
      </c>
      <c r="C1124" t="s">
        <v>147</v>
      </c>
      <c r="D1124" t="s">
        <v>236</v>
      </c>
      <c r="E1124" t="s">
        <v>237</v>
      </c>
      <c r="F1124" t="s">
        <v>238</v>
      </c>
      <c r="G1124" t="s">
        <v>7</v>
      </c>
      <c r="H1124" t="s">
        <v>217</v>
      </c>
      <c r="I1124" t="s">
        <v>217</v>
      </c>
      <c r="J1124" t="s">
        <v>7</v>
      </c>
      <c r="K1124" t="str">
        <f t="shared" si="17"/>
        <v>00430022</v>
      </c>
      <c r="L1124">
        <v>5088000</v>
      </c>
      <c r="M1124">
        <v>25430000</v>
      </c>
    </row>
    <row r="1125" spans="1:13">
      <c r="A1125" t="s">
        <v>142</v>
      </c>
      <c r="B1125" t="s">
        <v>305</v>
      </c>
      <c r="C1125" t="s">
        <v>178</v>
      </c>
      <c r="D1125" t="s">
        <v>297</v>
      </c>
      <c r="E1125" t="s">
        <v>237</v>
      </c>
      <c r="F1125" t="s">
        <v>238</v>
      </c>
      <c r="G1125" t="s">
        <v>7</v>
      </c>
      <c r="H1125" t="s">
        <v>217</v>
      </c>
      <c r="I1125" t="s">
        <v>217</v>
      </c>
      <c r="J1125" t="s">
        <v>7</v>
      </c>
      <c r="K1125" t="str">
        <f t="shared" si="17"/>
        <v>00430383</v>
      </c>
      <c r="L1125">
        <v>5001000</v>
      </c>
      <c r="M1125">
        <v>70001000</v>
      </c>
    </row>
    <row r="1126" spans="1:13">
      <c r="A1126" t="s">
        <v>142</v>
      </c>
      <c r="B1126" t="s">
        <v>305</v>
      </c>
      <c r="C1126" t="s">
        <v>172</v>
      </c>
      <c r="D1126" t="s">
        <v>258</v>
      </c>
      <c r="E1126" t="s">
        <v>237</v>
      </c>
      <c r="F1126" t="s">
        <v>238</v>
      </c>
      <c r="G1126" t="s">
        <v>7</v>
      </c>
      <c r="H1126" t="s">
        <v>217</v>
      </c>
      <c r="I1126" t="s">
        <v>217</v>
      </c>
      <c r="J1126" t="s">
        <v>7</v>
      </c>
      <c r="K1126" t="str">
        <f t="shared" si="17"/>
        <v>00430230</v>
      </c>
      <c r="L1126">
        <v>5001000</v>
      </c>
      <c r="M1126">
        <v>44430000</v>
      </c>
    </row>
    <row r="1127" spans="1:13">
      <c r="A1127" t="s">
        <v>142</v>
      </c>
      <c r="B1127" t="s">
        <v>305</v>
      </c>
      <c r="C1127" t="s">
        <v>153</v>
      </c>
      <c r="D1127" t="s">
        <v>249</v>
      </c>
      <c r="E1127" t="s">
        <v>237</v>
      </c>
      <c r="F1127" t="s">
        <v>238</v>
      </c>
      <c r="G1127" t="s">
        <v>7</v>
      </c>
      <c r="H1127" t="s">
        <v>217</v>
      </c>
      <c r="I1127" t="s">
        <v>217</v>
      </c>
      <c r="J1127" t="s">
        <v>7</v>
      </c>
      <c r="K1127" t="str">
        <f t="shared" si="17"/>
        <v>00430145</v>
      </c>
      <c r="L1127">
        <v>5088000</v>
      </c>
      <c r="M1127">
        <v>17001000</v>
      </c>
    </row>
    <row r="1128" spans="1:13">
      <c r="A1128" t="s">
        <v>142</v>
      </c>
      <c r="B1128" t="s">
        <v>305</v>
      </c>
      <c r="C1128" t="s">
        <v>170</v>
      </c>
      <c r="D1128" t="s">
        <v>270</v>
      </c>
      <c r="E1128" t="s">
        <v>237</v>
      </c>
      <c r="F1128" t="s">
        <v>238</v>
      </c>
      <c r="G1128" t="s">
        <v>7</v>
      </c>
      <c r="H1128" t="s">
        <v>217</v>
      </c>
      <c r="I1128" t="s">
        <v>217</v>
      </c>
      <c r="J1128" t="s">
        <v>7</v>
      </c>
      <c r="K1128" t="str">
        <f t="shared" si="17"/>
        <v>00430392</v>
      </c>
      <c r="L1128">
        <v>5088000</v>
      </c>
      <c r="M1128">
        <v>73001000</v>
      </c>
    </row>
    <row r="1129" spans="1:13">
      <c r="A1129" t="s">
        <v>142</v>
      </c>
      <c r="B1129" t="s">
        <v>305</v>
      </c>
      <c r="C1129" t="s">
        <v>165</v>
      </c>
      <c r="D1129" t="s">
        <v>295</v>
      </c>
      <c r="E1129" t="s">
        <v>237</v>
      </c>
      <c r="F1129" t="s">
        <v>238</v>
      </c>
      <c r="G1129" t="s">
        <v>7</v>
      </c>
      <c r="H1129" t="s">
        <v>217</v>
      </c>
      <c r="I1129" t="s">
        <v>217</v>
      </c>
      <c r="J1129" t="s">
        <v>7</v>
      </c>
      <c r="K1129" t="str">
        <f t="shared" si="17"/>
        <v>00430434</v>
      </c>
      <c r="L1129">
        <v>5001000</v>
      </c>
      <c r="M1129">
        <v>20001000</v>
      </c>
    </row>
    <row r="1130" spans="1:13">
      <c r="A1130" t="s">
        <v>142</v>
      </c>
      <c r="B1130" t="s">
        <v>305</v>
      </c>
      <c r="C1130" t="s">
        <v>189</v>
      </c>
      <c r="D1130" t="s">
        <v>296</v>
      </c>
      <c r="E1130" t="s">
        <v>237</v>
      </c>
      <c r="F1130" t="s">
        <v>238</v>
      </c>
      <c r="G1130" t="s">
        <v>7</v>
      </c>
      <c r="H1130" t="s">
        <v>217</v>
      </c>
      <c r="I1130" t="s">
        <v>217</v>
      </c>
      <c r="J1130" t="s">
        <v>7</v>
      </c>
      <c r="K1130" t="str">
        <f t="shared" si="17"/>
        <v>00430439</v>
      </c>
      <c r="L1130">
        <v>5001000</v>
      </c>
      <c r="M1130">
        <v>54001000</v>
      </c>
    </row>
    <row r="1131" spans="1:13">
      <c r="A1131" t="s">
        <v>142</v>
      </c>
      <c r="B1131" t="s">
        <v>305</v>
      </c>
      <c r="C1131" t="s">
        <v>160</v>
      </c>
      <c r="D1131" t="s">
        <v>287</v>
      </c>
      <c r="E1131" t="s">
        <v>237</v>
      </c>
      <c r="F1131" t="s">
        <v>238</v>
      </c>
      <c r="G1131" t="s">
        <v>7</v>
      </c>
      <c r="H1131" t="s">
        <v>217</v>
      </c>
      <c r="I1131" t="s">
        <v>217</v>
      </c>
      <c r="J1131" t="s">
        <v>7</v>
      </c>
      <c r="K1131" t="str">
        <f t="shared" si="17"/>
        <v>00430423</v>
      </c>
      <c r="L1131">
        <v>5001000</v>
      </c>
      <c r="M1131">
        <v>68001000</v>
      </c>
    </row>
    <row r="1132" spans="1:13">
      <c r="A1132" t="s">
        <v>142</v>
      </c>
      <c r="B1132" t="s">
        <v>305</v>
      </c>
      <c r="C1132" t="s">
        <v>162</v>
      </c>
      <c r="D1132" t="s">
        <v>245</v>
      </c>
      <c r="E1132" t="s">
        <v>237</v>
      </c>
      <c r="F1132" t="s">
        <v>238</v>
      </c>
      <c r="G1132" t="s">
        <v>7</v>
      </c>
      <c r="H1132" t="s">
        <v>217</v>
      </c>
      <c r="I1132" t="s">
        <v>217</v>
      </c>
      <c r="J1132" t="s">
        <v>7</v>
      </c>
      <c r="K1132" t="str">
        <f t="shared" si="17"/>
        <v>00430126</v>
      </c>
      <c r="L1132">
        <v>5088000</v>
      </c>
      <c r="M1132">
        <v>76001000</v>
      </c>
    </row>
    <row r="1133" spans="1:13">
      <c r="A1133" t="s">
        <v>142</v>
      </c>
      <c r="B1133" t="s">
        <v>305</v>
      </c>
      <c r="C1133" t="s">
        <v>173</v>
      </c>
      <c r="D1133" t="s">
        <v>300</v>
      </c>
      <c r="E1133" t="s">
        <v>237</v>
      </c>
      <c r="F1133" t="s">
        <v>238</v>
      </c>
      <c r="G1133" t="s">
        <v>7</v>
      </c>
      <c r="H1133" t="s">
        <v>217</v>
      </c>
      <c r="I1133" t="s">
        <v>217</v>
      </c>
      <c r="J1133" t="s">
        <v>7</v>
      </c>
      <c r="K1133" t="str">
        <f t="shared" si="17"/>
        <v>00430433</v>
      </c>
      <c r="L1133">
        <v>5088000</v>
      </c>
      <c r="M1133">
        <v>5001000</v>
      </c>
    </row>
    <row r="1134" spans="1:13">
      <c r="A1134" t="s">
        <v>142</v>
      </c>
      <c r="B1134" t="s">
        <v>305</v>
      </c>
      <c r="C1134" t="s">
        <v>127</v>
      </c>
      <c r="D1134" t="s">
        <v>268</v>
      </c>
      <c r="E1134" t="s">
        <v>237</v>
      </c>
      <c r="F1134" t="s">
        <v>238</v>
      </c>
      <c r="G1134" t="s">
        <v>7</v>
      </c>
      <c r="H1134" t="s">
        <v>217</v>
      </c>
      <c r="I1134" t="s">
        <v>217</v>
      </c>
      <c r="J1134" t="s">
        <v>7</v>
      </c>
      <c r="K1134" t="str">
        <f t="shared" si="17"/>
        <v>00430390</v>
      </c>
      <c r="L1134">
        <v>5088000</v>
      </c>
      <c r="M1134">
        <v>73001000</v>
      </c>
    </row>
    <row r="1135" spans="1:13">
      <c r="A1135" t="s">
        <v>142</v>
      </c>
      <c r="B1135" t="s">
        <v>305</v>
      </c>
      <c r="C1135" t="s">
        <v>186</v>
      </c>
      <c r="D1135" t="s">
        <v>262</v>
      </c>
      <c r="E1135" t="s">
        <v>237</v>
      </c>
      <c r="F1135" t="s">
        <v>238</v>
      </c>
      <c r="G1135" t="s">
        <v>7</v>
      </c>
      <c r="H1135" t="s">
        <v>217</v>
      </c>
      <c r="I1135" t="s">
        <v>217</v>
      </c>
      <c r="J1135" t="s">
        <v>7</v>
      </c>
      <c r="K1135" t="str">
        <f t="shared" si="17"/>
        <v>00430239</v>
      </c>
      <c r="L1135">
        <v>5088000</v>
      </c>
      <c r="M1135">
        <v>47001000</v>
      </c>
    </row>
    <row r="1136" spans="1:13">
      <c r="A1136" t="s">
        <v>142</v>
      </c>
      <c r="B1136" t="s">
        <v>305</v>
      </c>
      <c r="C1136" t="s">
        <v>133</v>
      </c>
      <c r="D1136" t="s">
        <v>241</v>
      </c>
      <c r="E1136" t="s">
        <v>237</v>
      </c>
      <c r="F1136" t="s">
        <v>238</v>
      </c>
      <c r="G1136" t="s">
        <v>7</v>
      </c>
      <c r="H1136" t="s">
        <v>217</v>
      </c>
      <c r="I1136" t="s">
        <v>217</v>
      </c>
      <c r="J1136" t="s">
        <v>7</v>
      </c>
      <c r="K1136" t="str">
        <f t="shared" si="17"/>
        <v>00430090</v>
      </c>
      <c r="L1136">
        <v>5088000</v>
      </c>
      <c r="M1136">
        <v>5615000</v>
      </c>
    </row>
    <row r="1137" spans="1:13">
      <c r="A1137" t="s">
        <v>142</v>
      </c>
      <c r="B1137" t="s">
        <v>305</v>
      </c>
      <c r="C1137" t="s">
        <v>177</v>
      </c>
      <c r="D1137" t="s">
        <v>264</v>
      </c>
      <c r="E1137" t="s">
        <v>237</v>
      </c>
      <c r="F1137" t="s">
        <v>238</v>
      </c>
      <c r="G1137" t="s">
        <v>7</v>
      </c>
      <c r="H1137" t="s">
        <v>217</v>
      </c>
      <c r="I1137" t="s">
        <v>217</v>
      </c>
      <c r="J1137" t="s">
        <v>7</v>
      </c>
      <c r="K1137" t="str">
        <f t="shared" si="17"/>
        <v>00430386</v>
      </c>
      <c r="L1137">
        <v>5088000</v>
      </c>
      <c r="M1137">
        <v>73001000</v>
      </c>
    </row>
    <row r="1138" spans="1:13">
      <c r="A1138" t="s">
        <v>142</v>
      </c>
      <c r="B1138" t="s">
        <v>305</v>
      </c>
      <c r="C1138" t="s">
        <v>185</v>
      </c>
      <c r="D1138" t="s">
        <v>257</v>
      </c>
      <c r="E1138" t="s">
        <v>237</v>
      </c>
      <c r="F1138" t="s">
        <v>238</v>
      </c>
      <c r="G1138" t="s">
        <v>7</v>
      </c>
      <c r="H1138" t="s">
        <v>217</v>
      </c>
      <c r="I1138" t="s">
        <v>217</v>
      </c>
      <c r="J1138" t="s">
        <v>7</v>
      </c>
      <c r="K1138" t="str">
        <f t="shared" si="17"/>
        <v>00430080</v>
      </c>
      <c r="L1138">
        <v>5088000</v>
      </c>
      <c r="M1138">
        <v>5001000</v>
      </c>
    </row>
    <row r="1139" spans="1:13">
      <c r="A1139" t="s">
        <v>142</v>
      </c>
      <c r="B1139" t="s">
        <v>305</v>
      </c>
      <c r="C1139" t="s">
        <v>156</v>
      </c>
      <c r="D1139" t="s">
        <v>244</v>
      </c>
      <c r="E1139" t="s">
        <v>237</v>
      </c>
      <c r="F1139" t="s">
        <v>238</v>
      </c>
      <c r="G1139" t="s">
        <v>7</v>
      </c>
      <c r="H1139" t="s">
        <v>217</v>
      </c>
      <c r="I1139" t="s">
        <v>217</v>
      </c>
      <c r="J1139" t="s">
        <v>7</v>
      </c>
      <c r="K1139" t="str">
        <f t="shared" si="17"/>
        <v>00430118</v>
      </c>
      <c r="L1139">
        <v>5088000</v>
      </c>
      <c r="M1139">
        <v>47001000</v>
      </c>
    </row>
    <row r="1140" spans="1:13">
      <c r="A1140" t="s">
        <v>142</v>
      </c>
      <c r="B1140" t="s">
        <v>305</v>
      </c>
      <c r="C1140" t="s">
        <v>161</v>
      </c>
      <c r="D1140" t="s">
        <v>293</v>
      </c>
      <c r="E1140" t="s">
        <v>237</v>
      </c>
      <c r="F1140" t="s">
        <v>238</v>
      </c>
      <c r="G1140" t="s">
        <v>7</v>
      </c>
      <c r="H1140" t="s">
        <v>217</v>
      </c>
      <c r="I1140" t="s">
        <v>217</v>
      </c>
      <c r="J1140" t="s">
        <v>7</v>
      </c>
      <c r="K1140" t="str">
        <f t="shared" si="17"/>
        <v>00430382</v>
      </c>
      <c r="L1140">
        <v>5001000</v>
      </c>
      <c r="M1140">
        <v>70001000</v>
      </c>
    </row>
    <row r="1141" spans="1:13">
      <c r="A1141" t="s">
        <v>142</v>
      </c>
      <c r="B1141" t="s">
        <v>305</v>
      </c>
      <c r="C1141" t="s">
        <v>146</v>
      </c>
      <c r="D1141" t="s">
        <v>272</v>
      </c>
      <c r="E1141" t="s">
        <v>237</v>
      </c>
      <c r="F1141" t="s">
        <v>238</v>
      </c>
      <c r="G1141" t="s">
        <v>7</v>
      </c>
      <c r="H1141" t="s">
        <v>217</v>
      </c>
      <c r="I1141" t="s">
        <v>217</v>
      </c>
      <c r="J1141" t="s">
        <v>7</v>
      </c>
      <c r="K1141" t="str">
        <f t="shared" si="17"/>
        <v>00430396</v>
      </c>
      <c r="L1141">
        <v>5001000</v>
      </c>
      <c r="M1141">
        <v>52835000</v>
      </c>
    </row>
    <row r="1142" spans="1:13">
      <c r="A1142" t="s">
        <v>142</v>
      </c>
      <c r="B1142" t="s">
        <v>305</v>
      </c>
      <c r="C1142" t="s">
        <v>144</v>
      </c>
      <c r="D1142" t="s">
        <v>285</v>
      </c>
      <c r="E1142" t="s">
        <v>237</v>
      </c>
      <c r="F1142" t="s">
        <v>238</v>
      </c>
      <c r="G1142" t="s">
        <v>7</v>
      </c>
      <c r="H1142" t="s">
        <v>217</v>
      </c>
      <c r="I1142" t="s">
        <v>217</v>
      </c>
      <c r="J1142" t="s">
        <v>7</v>
      </c>
      <c r="K1142" t="str">
        <f t="shared" si="17"/>
        <v>00430443</v>
      </c>
      <c r="L1142">
        <v>5001000</v>
      </c>
      <c r="M1142">
        <v>15001000</v>
      </c>
    </row>
    <row r="1143" spans="1:13">
      <c r="A1143" t="s">
        <v>142</v>
      </c>
      <c r="B1143" t="s">
        <v>305</v>
      </c>
      <c r="C1143" t="s">
        <v>180</v>
      </c>
      <c r="D1143" t="s">
        <v>240</v>
      </c>
      <c r="E1143" t="s">
        <v>237</v>
      </c>
      <c r="F1143" t="s">
        <v>238</v>
      </c>
      <c r="G1143" t="s">
        <v>7</v>
      </c>
      <c r="H1143" t="s">
        <v>217</v>
      </c>
      <c r="I1143" t="s">
        <v>217</v>
      </c>
      <c r="J1143" t="s">
        <v>7</v>
      </c>
      <c r="K1143" t="str">
        <f t="shared" si="17"/>
        <v>00430025</v>
      </c>
      <c r="L1143">
        <v>5088000</v>
      </c>
      <c r="M1143">
        <v>11001000</v>
      </c>
    </row>
    <row r="1144" spans="1:13">
      <c r="A1144" t="s">
        <v>142</v>
      </c>
      <c r="B1144" t="s">
        <v>305</v>
      </c>
      <c r="C1144" t="s">
        <v>154</v>
      </c>
      <c r="D1144" t="s">
        <v>283</v>
      </c>
      <c r="E1144" t="s">
        <v>237</v>
      </c>
      <c r="F1144" t="s">
        <v>238</v>
      </c>
      <c r="G1144" t="s">
        <v>7</v>
      </c>
      <c r="H1144" t="s">
        <v>217</v>
      </c>
      <c r="I1144" t="s">
        <v>217</v>
      </c>
      <c r="J1144" t="s">
        <v>7</v>
      </c>
      <c r="K1144" t="str">
        <f t="shared" si="17"/>
        <v>00430442</v>
      </c>
      <c r="L1144">
        <v>5001000</v>
      </c>
      <c r="M1144">
        <v>85001000</v>
      </c>
    </row>
    <row r="1145" spans="1:13">
      <c r="A1145" t="s">
        <v>142</v>
      </c>
      <c r="B1145" t="s">
        <v>305</v>
      </c>
      <c r="C1145" t="s">
        <v>174</v>
      </c>
      <c r="D1145" t="s">
        <v>253</v>
      </c>
      <c r="E1145" t="s">
        <v>237</v>
      </c>
      <c r="F1145" t="s">
        <v>238</v>
      </c>
      <c r="G1145" t="s">
        <v>7</v>
      </c>
      <c r="H1145" t="s">
        <v>217</v>
      </c>
      <c r="I1145" t="s">
        <v>217</v>
      </c>
      <c r="J1145" t="s">
        <v>7</v>
      </c>
      <c r="K1145" t="str">
        <f t="shared" si="17"/>
        <v>00430412</v>
      </c>
      <c r="L1145">
        <v>5088000</v>
      </c>
      <c r="M1145">
        <v>76001000</v>
      </c>
    </row>
    <row r="1146" spans="1:13">
      <c r="A1146" t="s">
        <v>142</v>
      </c>
      <c r="B1146" t="s">
        <v>305</v>
      </c>
      <c r="C1146" t="s">
        <v>163</v>
      </c>
      <c r="D1146" t="s">
        <v>275</v>
      </c>
      <c r="E1146" t="s">
        <v>237</v>
      </c>
      <c r="F1146" t="s">
        <v>238</v>
      </c>
      <c r="G1146" t="s">
        <v>7</v>
      </c>
      <c r="H1146" t="s">
        <v>217</v>
      </c>
      <c r="I1146" t="s">
        <v>217</v>
      </c>
      <c r="J1146" t="s">
        <v>7</v>
      </c>
      <c r="K1146" t="str">
        <f t="shared" si="17"/>
        <v>00430032</v>
      </c>
      <c r="L1146">
        <v>5088000</v>
      </c>
      <c r="M1146">
        <v>11001000</v>
      </c>
    </row>
    <row r="1147" spans="1:13">
      <c r="A1147" t="s">
        <v>142</v>
      </c>
      <c r="B1147" t="s">
        <v>305</v>
      </c>
      <c r="C1147" t="s">
        <v>134</v>
      </c>
      <c r="D1147" t="s">
        <v>281</v>
      </c>
      <c r="E1147" t="s">
        <v>237</v>
      </c>
      <c r="F1147" t="s">
        <v>238</v>
      </c>
      <c r="G1147" t="s">
        <v>7</v>
      </c>
      <c r="H1147" t="s">
        <v>217</v>
      </c>
      <c r="I1147" t="s">
        <v>217</v>
      </c>
      <c r="J1147" t="s">
        <v>7</v>
      </c>
      <c r="K1147" t="str">
        <f t="shared" si="17"/>
        <v>00430424</v>
      </c>
      <c r="L1147">
        <v>5001000</v>
      </c>
      <c r="M1147">
        <v>68081000</v>
      </c>
    </row>
    <row r="1148" spans="1:13">
      <c r="A1148" t="s">
        <v>142</v>
      </c>
      <c r="B1148" t="s">
        <v>305</v>
      </c>
      <c r="C1148" t="s">
        <v>121</v>
      </c>
      <c r="D1148" t="s">
        <v>282</v>
      </c>
      <c r="E1148" t="s">
        <v>237</v>
      </c>
      <c r="F1148" t="s">
        <v>238</v>
      </c>
      <c r="G1148" t="s">
        <v>7</v>
      </c>
      <c r="H1148" t="s">
        <v>217</v>
      </c>
      <c r="I1148" t="s">
        <v>217</v>
      </c>
      <c r="J1148" t="s">
        <v>7</v>
      </c>
      <c r="K1148" t="str">
        <f t="shared" si="17"/>
        <v>00430438</v>
      </c>
      <c r="L1148">
        <v>5001000</v>
      </c>
      <c r="M1148">
        <v>54001000</v>
      </c>
    </row>
    <row r="1149" spans="1:13">
      <c r="A1149" t="s">
        <v>142</v>
      </c>
      <c r="B1149" t="s">
        <v>305</v>
      </c>
      <c r="C1149" t="s">
        <v>129</v>
      </c>
      <c r="D1149" t="s">
        <v>280</v>
      </c>
      <c r="E1149" t="s">
        <v>237</v>
      </c>
      <c r="F1149" t="s">
        <v>238</v>
      </c>
      <c r="G1149" t="s">
        <v>7</v>
      </c>
      <c r="H1149" t="s">
        <v>217</v>
      </c>
      <c r="I1149" t="s">
        <v>217</v>
      </c>
      <c r="J1149" t="s">
        <v>7</v>
      </c>
      <c r="K1149" t="str">
        <f t="shared" si="17"/>
        <v>00430381</v>
      </c>
      <c r="L1149">
        <v>5001000</v>
      </c>
      <c r="M1149">
        <v>23001000</v>
      </c>
    </row>
    <row r="1150" spans="1:13">
      <c r="A1150" t="s">
        <v>142</v>
      </c>
      <c r="B1150" t="s">
        <v>305</v>
      </c>
      <c r="C1150" t="s">
        <v>122</v>
      </c>
      <c r="D1150" t="s">
        <v>289</v>
      </c>
      <c r="E1150" t="s">
        <v>237</v>
      </c>
      <c r="F1150" t="s">
        <v>238</v>
      </c>
      <c r="G1150" t="s">
        <v>7</v>
      </c>
      <c r="H1150" t="s">
        <v>217</v>
      </c>
      <c r="I1150" t="s">
        <v>217</v>
      </c>
      <c r="J1150" t="s">
        <v>7</v>
      </c>
      <c r="K1150" t="str">
        <f t="shared" si="17"/>
        <v>00430385</v>
      </c>
      <c r="L1150">
        <v>5001000</v>
      </c>
      <c r="M1150">
        <v>41001000</v>
      </c>
    </row>
    <row r="1151" spans="1:13">
      <c r="A1151" t="s">
        <v>142</v>
      </c>
      <c r="B1151" t="s">
        <v>305</v>
      </c>
      <c r="C1151" t="s">
        <v>151</v>
      </c>
      <c r="D1151" t="s">
        <v>271</v>
      </c>
      <c r="E1151" t="s">
        <v>237</v>
      </c>
      <c r="F1151" t="s">
        <v>238</v>
      </c>
      <c r="G1151" t="s">
        <v>7</v>
      </c>
      <c r="H1151" t="s">
        <v>217</v>
      </c>
      <c r="I1151" t="s">
        <v>217</v>
      </c>
      <c r="J1151" t="s">
        <v>7</v>
      </c>
      <c r="K1151" t="str">
        <f t="shared" si="17"/>
        <v>00430395</v>
      </c>
      <c r="L1151">
        <v>5001000</v>
      </c>
      <c r="M1151">
        <v>52001000</v>
      </c>
    </row>
    <row r="1152" spans="1:13">
      <c r="A1152" t="s">
        <v>142</v>
      </c>
      <c r="B1152" t="s">
        <v>305</v>
      </c>
      <c r="C1152" t="s">
        <v>120</v>
      </c>
      <c r="D1152" t="s">
        <v>292</v>
      </c>
      <c r="E1152" t="s">
        <v>237</v>
      </c>
      <c r="F1152" t="s">
        <v>238</v>
      </c>
      <c r="G1152" t="s">
        <v>7</v>
      </c>
      <c r="H1152" t="s">
        <v>217</v>
      </c>
      <c r="I1152" t="s">
        <v>217</v>
      </c>
      <c r="J1152" t="s">
        <v>7</v>
      </c>
      <c r="K1152" t="str">
        <f t="shared" si="17"/>
        <v>00430422</v>
      </c>
      <c r="L1152">
        <v>5001000</v>
      </c>
      <c r="M1152">
        <v>68547000</v>
      </c>
    </row>
    <row r="1153" spans="1:13">
      <c r="A1153" t="s">
        <v>142</v>
      </c>
      <c r="B1153" t="s">
        <v>305</v>
      </c>
      <c r="C1153" t="s">
        <v>149</v>
      </c>
      <c r="D1153" t="s">
        <v>286</v>
      </c>
      <c r="E1153" t="s">
        <v>237</v>
      </c>
      <c r="F1153" t="s">
        <v>238</v>
      </c>
      <c r="G1153" t="s">
        <v>7</v>
      </c>
      <c r="H1153" t="s">
        <v>217</v>
      </c>
      <c r="I1153" t="s">
        <v>217</v>
      </c>
      <c r="J1153" t="s">
        <v>7</v>
      </c>
      <c r="K1153" t="str">
        <f t="shared" si="17"/>
        <v>00430447</v>
      </c>
      <c r="L1153">
        <v>5001000</v>
      </c>
      <c r="M1153">
        <v>20001000</v>
      </c>
    </row>
    <row r="1154" spans="1:13">
      <c r="A1154" t="s">
        <v>142</v>
      </c>
      <c r="B1154" t="s">
        <v>305</v>
      </c>
      <c r="C1154" t="s">
        <v>135</v>
      </c>
      <c r="D1154" t="s">
        <v>290</v>
      </c>
      <c r="E1154" t="s">
        <v>237</v>
      </c>
      <c r="F1154" t="s">
        <v>238</v>
      </c>
      <c r="G1154" t="s">
        <v>7</v>
      </c>
      <c r="H1154" t="s">
        <v>217</v>
      </c>
      <c r="I1154" t="s">
        <v>217</v>
      </c>
      <c r="J1154" t="s">
        <v>7</v>
      </c>
      <c r="K1154" t="str">
        <f t="shared" si="17"/>
        <v>00430393</v>
      </c>
      <c r="L1154">
        <v>5001000</v>
      </c>
      <c r="M1154">
        <v>50001000</v>
      </c>
    </row>
    <row r="1155" spans="1:13">
      <c r="A1155" t="s">
        <v>142</v>
      </c>
      <c r="B1155" t="s">
        <v>305</v>
      </c>
      <c r="C1155" t="s">
        <v>130</v>
      </c>
      <c r="D1155" t="s">
        <v>247</v>
      </c>
      <c r="E1155" t="s">
        <v>237</v>
      </c>
      <c r="F1155" t="s">
        <v>238</v>
      </c>
      <c r="G1155" t="s">
        <v>7</v>
      </c>
      <c r="H1155" t="s">
        <v>217</v>
      </c>
      <c r="I1155" t="s">
        <v>217</v>
      </c>
      <c r="J1155" t="s">
        <v>7</v>
      </c>
      <c r="K1155" t="str">
        <f t="shared" ref="K1155:K1198" si="18">A1155&amp;C1155</f>
        <v>00430134</v>
      </c>
      <c r="L1155">
        <v>5001000</v>
      </c>
      <c r="M1155">
        <v>66170000</v>
      </c>
    </row>
    <row r="1156" spans="1:13">
      <c r="A1156" t="s">
        <v>142</v>
      </c>
      <c r="B1156" t="s">
        <v>305</v>
      </c>
      <c r="C1156" t="s">
        <v>124</v>
      </c>
      <c r="D1156" t="s">
        <v>242</v>
      </c>
      <c r="E1156" t="s">
        <v>237</v>
      </c>
      <c r="F1156" t="s">
        <v>238</v>
      </c>
      <c r="G1156" t="s">
        <v>7</v>
      </c>
      <c r="H1156" t="s">
        <v>217</v>
      </c>
      <c r="I1156" t="s">
        <v>217</v>
      </c>
      <c r="J1156" t="s">
        <v>7</v>
      </c>
      <c r="K1156" t="str">
        <f t="shared" si="18"/>
        <v>00430092</v>
      </c>
      <c r="L1156">
        <v>5088000</v>
      </c>
      <c r="M1156">
        <v>5001000</v>
      </c>
    </row>
    <row r="1157" spans="1:13">
      <c r="A1157" t="s">
        <v>125</v>
      </c>
      <c r="B1157" t="s">
        <v>277</v>
      </c>
      <c r="C1157" t="s">
        <v>142</v>
      </c>
      <c r="D1157" t="s">
        <v>305</v>
      </c>
      <c r="E1157" t="s">
        <v>237</v>
      </c>
      <c r="F1157" t="s">
        <v>238</v>
      </c>
      <c r="G1157" t="s">
        <v>7</v>
      </c>
      <c r="H1157" t="s">
        <v>217</v>
      </c>
      <c r="I1157" t="s">
        <v>217</v>
      </c>
      <c r="J1157" t="s">
        <v>7</v>
      </c>
      <c r="K1157" t="str">
        <f t="shared" si="18"/>
        <v>04450043</v>
      </c>
      <c r="L1157">
        <v>19142000</v>
      </c>
      <c r="M1157">
        <v>5001000</v>
      </c>
    </row>
    <row r="1158" spans="1:13">
      <c r="A1158" t="s">
        <v>152</v>
      </c>
      <c r="B1158" t="s">
        <v>252</v>
      </c>
      <c r="C1158" t="s">
        <v>142</v>
      </c>
      <c r="D1158" t="s">
        <v>305</v>
      </c>
      <c r="E1158" t="s">
        <v>237</v>
      </c>
      <c r="F1158" t="s">
        <v>238</v>
      </c>
      <c r="G1158" t="s">
        <v>7</v>
      </c>
      <c r="H1158" t="s">
        <v>217</v>
      </c>
      <c r="I1158" t="s">
        <v>217</v>
      </c>
      <c r="J1158" t="s">
        <v>7</v>
      </c>
      <c r="K1158" t="str">
        <f t="shared" si="18"/>
        <v>04110043</v>
      </c>
      <c r="L1158">
        <v>76111000</v>
      </c>
      <c r="M1158">
        <v>5088000</v>
      </c>
    </row>
    <row r="1159" spans="1:13">
      <c r="A1159" t="s">
        <v>131</v>
      </c>
      <c r="B1159" t="s">
        <v>278</v>
      </c>
      <c r="C1159" t="s">
        <v>142</v>
      </c>
      <c r="D1159" t="s">
        <v>305</v>
      </c>
      <c r="E1159" t="s">
        <v>237</v>
      </c>
      <c r="F1159" t="s">
        <v>238</v>
      </c>
      <c r="G1159" t="s">
        <v>7</v>
      </c>
      <c r="H1159" t="s">
        <v>217</v>
      </c>
      <c r="I1159" t="s">
        <v>217</v>
      </c>
      <c r="J1159" t="s">
        <v>7</v>
      </c>
      <c r="K1159" t="str">
        <f t="shared" si="18"/>
        <v>00350043</v>
      </c>
      <c r="L1159">
        <v>25799000</v>
      </c>
      <c r="M1159">
        <v>5001000</v>
      </c>
    </row>
    <row r="1160" spans="1:13">
      <c r="A1160" t="s">
        <v>140</v>
      </c>
      <c r="B1160" t="s">
        <v>243</v>
      </c>
      <c r="C1160" t="s">
        <v>142</v>
      </c>
      <c r="D1160" t="s">
        <v>305</v>
      </c>
      <c r="E1160" t="s">
        <v>237</v>
      </c>
      <c r="F1160" t="s">
        <v>238</v>
      </c>
      <c r="G1160" t="s">
        <v>7</v>
      </c>
      <c r="H1160" t="s">
        <v>217</v>
      </c>
      <c r="I1160" t="s">
        <v>217</v>
      </c>
      <c r="J1160" t="s">
        <v>7</v>
      </c>
      <c r="K1160" t="str">
        <f t="shared" si="18"/>
        <v>01130043</v>
      </c>
      <c r="L1160">
        <v>13001000</v>
      </c>
      <c r="M1160">
        <v>5088000</v>
      </c>
    </row>
    <row r="1161" spans="1:13">
      <c r="A1161" t="s">
        <v>136</v>
      </c>
      <c r="B1161" t="s">
        <v>276</v>
      </c>
      <c r="C1161" t="s">
        <v>142</v>
      </c>
      <c r="D1161" t="s">
        <v>305</v>
      </c>
      <c r="E1161" t="s">
        <v>237</v>
      </c>
      <c r="F1161" t="s">
        <v>238</v>
      </c>
      <c r="G1161" t="s">
        <v>7</v>
      </c>
      <c r="H1161" t="s">
        <v>217</v>
      </c>
      <c r="I1161" t="s">
        <v>217</v>
      </c>
      <c r="J1161" t="s">
        <v>7</v>
      </c>
      <c r="K1161" t="str">
        <f t="shared" si="18"/>
        <v>00740043</v>
      </c>
      <c r="L1161">
        <v>5172000</v>
      </c>
      <c r="M1161">
        <v>5001000</v>
      </c>
    </row>
    <row r="1162" spans="1:13">
      <c r="A1162" t="s">
        <v>153</v>
      </c>
      <c r="B1162" t="s">
        <v>249</v>
      </c>
      <c r="C1162" t="s">
        <v>142</v>
      </c>
      <c r="D1162" t="s">
        <v>305</v>
      </c>
      <c r="E1162" t="s">
        <v>237</v>
      </c>
      <c r="F1162" t="s">
        <v>238</v>
      </c>
      <c r="G1162" t="s">
        <v>7</v>
      </c>
      <c r="H1162" t="s">
        <v>217</v>
      </c>
      <c r="I1162" t="s">
        <v>217</v>
      </c>
      <c r="J1162" t="s">
        <v>7</v>
      </c>
      <c r="K1162" t="str">
        <f t="shared" si="18"/>
        <v>01450043</v>
      </c>
      <c r="L1162">
        <v>17001000</v>
      </c>
      <c r="M1162">
        <v>5088000</v>
      </c>
    </row>
    <row r="1163" spans="1:13">
      <c r="A1163" t="s">
        <v>133</v>
      </c>
      <c r="B1163" t="s">
        <v>241</v>
      </c>
      <c r="C1163" t="s">
        <v>142</v>
      </c>
      <c r="D1163" t="s">
        <v>305</v>
      </c>
      <c r="E1163" t="s">
        <v>237</v>
      </c>
      <c r="F1163" t="s">
        <v>238</v>
      </c>
      <c r="G1163" t="s">
        <v>7</v>
      </c>
      <c r="H1163" t="s">
        <v>217</v>
      </c>
      <c r="I1163" t="s">
        <v>217</v>
      </c>
      <c r="J1163" t="s">
        <v>7</v>
      </c>
      <c r="K1163" t="str">
        <f t="shared" si="18"/>
        <v>00900043</v>
      </c>
      <c r="L1163">
        <v>5615000</v>
      </c>
      <c r="M1163">
        <v>5088000</v>
      </c>
    </row>
    <row r="1164" spans="1:13">
      <c r="A1164" t="s">
        <v>185</v>
      </c>
      <c r="B1164" t="s">
        <v>257</v>
      </c>
      <c r="C1164" t="s">
        <v>142</v>
      </c>
      <c r="D1164" t="s">
        <v>305</v>
      </c>
      <c r="E1164" t="s">
        <v>237</v>
      </c>
      <c r="F1164" t="s">
        <v>238</v>
      </c>
      <c r="G1164" t="s">
        <v>7</v>
      </c>
      <c r="H1164" t="s">
        <v>217</v>
      </c>
      <c r="I1164" t="s">
        <v>217</v>
      </c>
      <c r="J1164" t="s">
        <v>7</v>
      </c>
      <c r="K1164" t="str">
        <f t="shared" si="18"/>
        <v>00800043</v>
      </c>
      <c r="L1164">
        <v>5042000</v>
      </c>
      <c r="M1164">
        <v>5001000</v>
      </c>
    </row>
    <row r="1165" spans="1:13">
      <c r="A1165" t="s">
        <v>137</v>
      </c>
      <c r="B1165" t="s">
        <v>302</v>
      </c>
      <c r="C1165" t="s">
        <v>142</v>
      </c>
      <c r="D1165" t="s">
        <v>305</v>
      </c>
      <c r="E1165" t="s">
        <v>237</v>
      </c>
      <c r="F1165" t="s">
        <v>238</v>
      </c>
      <c r="G1165" t="s">
        <v>7</v>
      </c>
      <c r="H1165" t="s">
        <v>217</v>
      </c>
      <c r="I1165" t="s">
        <v>217</v>
      </c>
      <c r="J1165" t="s">
        <v>7</v>
      </c>
      <c r="K1165" t="str">
        <f t="shared" si="18"/>
        <v>04600043</v>
      </c>
      <c r="L1165">
        <v>11001000</v>
      </c>
      <c r="M1165">
        <v>5088000</v>
      </c>
    </row>
    <row r="1166" spans="1:13">
      <c r="A1166" t="s">
        <v>128</v>
      </c>
      <c r="B1166" t="s">
        <v>301</v>
      </c>
      <c r="C1166" t="s">
        <v>142</v>
      </c>
      <c r="D1166" t="s">
        <v>305</v>
      </c>
      <c r="E1166" t="s">
        <v>237</v>
      </c>
      <c r="F1166" t="s">
        <v>238</v>
      </c>
      <c r="G1166" t="s">
        <v>7</v>
      </c>
      <c r="H1166" t="s">
        <v>217</v>
      </c>
      <c r="I1166" t="s">
        <v>217</v>
      </c>
      <c r="J1166" t="s">
        <v>7</v>
      </c>
      <c r="K1166" t="str">
        <f t="shared" si="18"/>
        <v>04610043</v>
      </c>
      <c r="L1166">
        <v>11001000</v>
      </c>
      <c r="M1166">
        <v>5088000</v>
      </c>
    </row>
    <row r="1167" spans="1:13">
      <c r="A1167" t="s">
        <v>120</v>
      </c>
      <c r="B1167" t="s">
        <v>292</v>
      </c>
      <c r="C1167" t="s">
        <v>142</v>
      </c>
      <c r="D1167" t="s">
        <v>305</v>
      </c>
      <c r="E1167" t="s">
        <v>237</v>
      </c>
      <c r="F1167" t="s">
        <v>238</v>
      </c>
      <c r="G1167" t="s">
        <v>7</v>
      </c>
      <c r="H1167" t="s">
        <v>217</v>
      </c>
      <c r="I1167" t="s">
        <v>217</v>
      </c>
      <c r="J1167" t="s">
        <v>7</v>
      </c>
      <c r="K1167" t="str">
        <f t="shared" si="18"/>
        <v>04220043</v>
      </c>
      <c r="L1167">
        <v>68547000</v>
      </c>
      <c r="M1167">
        <v>5001000</v>
      </c>
    </row>
    <row r="1168" spans="1:13">
      <c r="A1168" t="s">
        <v>116</v>
      </c>
      <c r="B1168" t="s">
        <v>235</v>
      </c>
      <c r="C1168" t="s">
        <v>142</v>
      </c>
      <c r="D1168" t="s">
        <v>305</v>
      </c>
      <c r="E1168" t="s">
        <v>237</v>
      </c>
      <c r="F1168" t="s">
        <v>238</v>
      </c>
      <c r="G1168" t="s">
        <v>7</v>
      </c>
      <c r="H1168" t="s">
        <v>217</v>
      </c>
      <c r="I1168" t="s">
        <v>217</v>
      </c>
      <c r="J1168" t="s">
        <v>7</v>
      </c>
      <c r="K1168" t="str">
        <f t="shared" si="18"/>
        <v>00210043</v>
      </c>
      <c r="L1168">
        <v>11001000</v>
      </c>
      <c r="M1168">
        <v>5088000</v>
      </c>
    </row>
    <row r="1169" spans="1:13">
      <c r="A1169" t="s">
        <v>129</v>
      </c>
      <c r="B1169" t="s">
        <v>280</v>
      </c>
      <c r="C1169" t="s">
        <v>142</v>
      </c>
      <c r="D1169" t="s">
        <v>305</v>
      </c>
      <c r="E1169" t="s">
        <v>237</v>
      </c>
      <c r="F1169" t="s">
        <v>238</v>
      </c>
      <c r="G1169" t="s">
        <v>7</v>
      </c>
      <c r="H1169" t="s">
        <v>217</v>
      </c>
      <c r="I1169" t="s">
        <v>217</v>
      </c>
      <c r="J1169" t="s">
        <v>7</v>
      </c>
      <c r="K1169" t="str">
        <f t="shared" si="18"/>
        <v>03810043</v>
      </c>
      <c r="L1169">
        <v>23001000</v>
      </c>
      <c r="M1169">
        <v>5001000</v>
      </c>
    </row>
    <row r="1170" spans="1:13">
      <c r="A1170" t="s">
        <v>130</v>
      </c>
      <c r="B1170" t="s">
        <v>247</v>
      </c>
      <c r="C1170" t="s">
        <v>142</v>
      </c>
      <c r="D1170" t="s">
        <v>305</v>
      </c>
      <c r="E1170" t="s">
        <v>237</v>
      </c>
      <c r="F1170" t="s">
        <v>238</v>
      </c>
      <c r="G1170" t="s">
        <v>7</v>
      </c>
      <c r="H1170" t="s">
        <v>217</v>
      </c>
      <c r="I1170" t="s">
        <v>217</v>
      </c>
      <c r="J1170" t="s">
        <v>7</v>
      </c>
      <c r="K1170" t="str">
        <f t="shared" si="18"/>
        <v>01340043</v>
      </c>
      <c r="L1170">
        <v>66170000</v>
      </c>
      <c r="M1170">
        <v>5001000</v>
      </c>
    </row>
    <row r="1171" spans="1:13">
      <c r="A1171" t="s">
        <v>119</v>
      </c>
      <c r="B1171" t="s">
        <v>274</v>
      </c>
      <c r="C1171" t="s">
        <v>142</v>
      </c>
      <c r="D1171" t="s">
        <v>305</v>
      </c>
      <c r="E1171" t="s">
        <v>237</v>
      </c>
      <c r="F1171" t="s">
        <v>238</v>
      </c>
      <c r="G1171" t="s">
        <v>7</v>
      </c>
      <c r="H1171" t="s">
        <v>217</v>
      </c>
      <c r="I1171" t="s">
        <v>217</v>
      </c>
      <c r="J1171" t="s">
        <v>7</v>
      </c>
      <c r="K1171" t="str">
        <f t="shared" si="18"/>
        <v>01110043</v>
      </c>
      <c r="L1171">
        <v>8433000</v>
      </c>
      <c r="M1171">
        <v>5088000</v>
      </c>
    </row>
    <row r="1172" spans="1:13">
      <c r="A1172" t="s">
        <v>141</v>
      </c>
      <c r="B1172" t="s">
        <v>250</v>
      </c>
      <c r="C1172" t="s">
        <v>142</v>
      </c>
      <c r="D1172" t="s">
        <v>305</v>
      </c>
      <c r="E1172" t="s">
        <v>237</v>
      </c>
      <c r="F1172" t="s">
        <v>238</v>
      </c>
      <c r="G1172" t="s">
        <v>7</v>
      </c>
      <c r="H1172" t="s">
        <v>217</v>
      </c>
      <c r="I1172" t="s">
        <v>217</v>
      </c>
      <c r="J1172" t="s">
        <v>7</v>
      </c>
      <c r="K1172" t="str">
        <f t="shared" si="18"/>
        <v>01980043</v>
      </c>
      <c r="L1172">
        <v>66001000</v>
      </c>
      <c r="M1172">
        <v>5001000</v>
      </c>
    </row>
    <row r="1173" spans="1:13">
      <c r="A1173" t="s">
        <v>117</v>
      </c>
      <c r="B1173" t="s">
        <v>251</v>
      </c>
      <c r="C1173" t="s">
        <v>142</v>
      </c>
      <c r="D1173" t="s">
        <v>305</v>
      </c>
      <c r="E1173" t="s">
        <v>237</v>
      </c>
      <c r="F1173" t="s">
        <v>238</v>
      </c>
      <c r="G1173" t="s">
        <v>7</v>
      </c>
      <c r="H1173" t="s">
        <v>217</v>
      </c>
      <c r="I1173" t="s">
        <v>217</v>
      </c>
      <c r="J1173" t="s">
        <v>7</v>
      </c>
      <c r="K1173" t="str">
        <f t="shared" si="18"/>
        <v>04100043</v>
      </c>
      <c r="L1173">
        <v>76892000</v>
      </c>
      <c r="M1173">
        <v>5088000</v>
      </c>
    </row>
    <row r="1174" spans="1:13">
      <c r="A1174" t="s">
        <v>149</v>
      </c>
      <c r="B1174" t="s">
        <v>286</v>
      </c>
      <c r="C1174" t="s">
        <v>142</v>
      </c>
      <c r="D1174" t="s">
        <v>305</v>
      </c>
      <c r="E1174" t="s">
        <v>237</v>
      </c>
      <c r="F1174" t="s">
        <v>238</v>
      </c>
      <c r="G1174" t="s">
        <v>7</v>
      </c>
      <c r="H1174" t="s">
        <v>217</v>
      </c>
      <c r="I1174" t="s">
        <v>217</v>
      </c>
      <c r="J1174" t="s">
        <v>7</v>
      </c>
      <c r="K1174" t="str">
        <f t="shared" si="18"/>
        <v>04470043</v>
      </c>
      <c r="L1174">
        <v>20001000</v>
      </c>
      <c r="M1174">
        <v>5001000</v>
      </c>
    </row>
    <row r="1175" spans="1:13">
      <c r="A1175" t="s">
        <v>166</v>
      </c>
      <c r="B1175" t="s">
        <v>246</v>
      </c>
      <c r="C1175" t="s">
        <v>142</v>
      </c>
      <c r="D1175" t="s">
        <v>305</v>
      </c>
      <c r="E1175" t="s">
        <v>237</v>
      </c>
      <c r="F1175" t="s">
        <v>238</v>
      </c>
      <c r="G1175" t="s">
        <v>7</v>
      </c>
      <c r="H1175" t="s">
        <v>217</v>
      </c>
      <c r="I1175" t="s">
        <v>217</v>
      </c>
      <c r="J1175" t="s">
        <v>7</v>
      </c>
      <c r="K1175" t="str">
        <f t="shared" si="18"/>
        <v>01310043</v>
      </c>
      <c r="L1175">
        <v>76109000</v>
      </c>
      <c r="M1175">
        <v>5088000</v>
      </c>
    </row>
    <row r="1176" spans="1:13">
      <c r="A1176" t="s">
        <v>141</v>
      </c>
      <c r="B1176" t="s">
        <v>250</v>
      </c>
      <c r="C1176" t="s">
        <v>176</v>
      </c>
      <c r="D1176" t="s">
        <v>261</v>
      </c>
      <c r="E1176" t="s">
        <v>237</v>
      </c>
      <c r="F1176" t="s">
        <v>238</v>
      </c>
      <c r="G1176" t="s">
        <v>7</v>
      </c>
      <c r="H1176" t="s">
        <v>217</v>
      </c>
      <c r="I1176" t="s">
        <v>217</v>
      </c>
      <c r="J1176" t="s">
        <v>7</v>
      </c>
      <c r="K1176" t="str">
        <f t="shared" si="18"/>
        <v>01980146</v>
      </c>
      <c r="L1176">
        <v>66001000</v>
      </c>
      <c r="M1176">
        <v>17001000</v>
      </c>
    </row>
    <row r="1177" spans="1:13">
      <c r="A1177" t="s">
        <v>141</v>
      </c>
      <c r="B1177" t="s">
        <v>250</v>
      </c>
      <c r="C1177" t="s">
        <v>153</v>
      </c>
      <c r="D1177" t="s">
        <v>249</v>
      </c>
      <c r="E1177" t="s">
        <v>237</v>
      </c>
      <c r="F1177" t="s">
        <v>238</v>
      </c>
      <c r="G1177" t="s">
        <v>7</v>
      </c>
      <c r="H1177" t="s">
        <v>217</v>
      </c>
      <c r="I1177" t="s">
        <v>217</v>
      </c>
      <c r="J1177" t="s">
        <v>7</v>
      </c>
      <c r="K1177" t="str">
        <f t="shared" si="18"/>
        <v>01980145</v>
      </c>
      <c r="L1177">
        <v>66001000</v>
      </c>
      <c r="M1177">
        <v>17001000</v>
      </c>
    </row>
    <row r="1178" spans="1:13">
      <c r="A1178" t="s">
        <v>141</v>
      </c>
      <c r="B1178" t="s">
        <v>250</v>
      </c>
      <c r="C1178" t="s">
        <v>174</v>
      </c>
      <c r="D1178" t="s">
        <v>253</v>
      </c>
      <c r="E1178" t="s">
        <v>237</v>
      </c>
      <c r="F1178" t="s">
        <v>238</v>
      </c>
      <c r="G1178" t="s">
        <v>7</v>
      </c>
      <c r="H1178" t="s">
        <v>217</v>
      </c>
      <c r="I1178" t="s">
        <v>217</v>
      </c>
      <c r="J1178" t="s">
        <v>7</v>
      </c>
      <c r="K1178" t="str">
        <f t="shared" si="18"/>
        <v>01980412</v>
      </c>
      <c r="L1178">
        <v>66001000</v>
      </c>
      <c r="M1178">
        <v>76895000</v>
      </c>
    </row>
    <row r="1179" spans="1:13">
      <c r="A1179" t="s">
        <v>204</v>
      </c>
      <c r="B1179" t="s">
        <v>306</v>
      </c>
      <c r="C1179" t="s">
        <v>137</v>
      </c>
      <c r="D1179" t="s">
        <v>302</v>
      </c>
      <c r="E1179" t="s">
        <v>237</v>
      </c>
      <c r="F1179" t="s">
        <v>238</v>
      </c>
      <c r="G1179" t="s">
        <v>7</v>
      </c>
      <c r="H1179" t="s">
        <v>217</v>
      </c>
      <c r="I1179" t="s">
        <v>217</v>
      </c>
      <c r="J1179" t="s">
        <v>7</v>
      </c>
      <c r="K1179" t="str">
        <f t="shared" si="18"/>
        <v>00290460</v>
      </c>
      <c r="L1179">
        <v>50001000</v>
      </c>
      <c r="M1179">
        <v>11001000</v>
      </c>
    </row>
    <row r="1180" spans="1:13">
      <c r="A1180" t="s">
        <v>131</v>
      </c>
      <c r="B1180" t="s">
        <v>278</v>
      </c>
      <c r="C1180" t="s">
        <v>172</v>
      </c>
      <c r="D1180" t="s">
        <v>258</v>
      </c>
      <c r="E1180" t="s">
        <v>237</v>
      </c>
      <c r="F1180" t="s">
        <v>238</v>
      </c>
      <c r="G1180" t="s">
        <v>7</v>
      </c>
      <c r="H1180" t="s">
        <v>217</v>
      </c>
      <c r="I1180" t="s">
        <v>217</v>
      </c>
      <c r="J1180" t="s">
        <v>7</v>
      </c>
      <c r="K1180" t="str">
        <f t="shared" si="18"/>
        <v>00350230</v>
      </c>
      <c r="L1180">
        <v>11001000</v>
      </c>
      <c r="M1180">
        <v>44430000</v>
      </c>
    </row>
    <row r="1181" spans="1:13">
      <c r="A1181" t="s">
        <v>131</v>
      </c>
      <c r="B1181" t="s">
        <v>278</v>
      </c>
      <c r="C1181" t="s">
        <v>138</v>
      </c>
      <c r="D1181" t="s">
        <v>265</v>
      </c>
      <c r="E1181" t="s">
        <v>237</v>
      </c>
      <c r="F1181" t="s">
        <v>238</v>
      </c>
      <c r="G1181" t="s">
        <v>7</v>
      </c>
      <c r="H1181" t="s">
        <v>217</v>
      </c>
      <c r="I1181" t="s">
        <v>217</v>
      </c>
      <c r="J1181" t="s">
        <v>7</v>
      </c>
      <c r="K1181" t="str">
        <f t="shared" si="18"/>
        <v>00350387</v>
      </c>
      <c r="L1181">
        <v>25799000</v>
      </c>
      <c r="M1181">
        <v>41001000</v>
      </c>
    </row>
    <row r="1182" spans="1:13">
      <c r="A1182" t="s">
        <v>121</v>
      </c>
      <c r="B1182" t="s">
        <v>282</v>
      </c>
      <c r="C1182" t="s">
        <v>140</v>
      </c>
      <c r="D1182" t="s">
        <v>243</v>
      </c>
      <c r="E1182" t="s">
        <v>237</v>
      </c>
      <c r="F1182" t="s">
        <v>238</v>
      </c>
      <c r="G1182" t="s">
        <v>7</v>
      </c>
      <c r="H1182" t="s">
        <v>217</v>
      </c>
      <c r="I1182" t="s">
        <v>217</v>
      </c>
      <c r="J1182" t="s">
        <v>7</v>
      </c>
      <c r="K1182" t="str">
        <f t="shared" si="18"/>
        <v>04380113</v>
      </c>
      <c r="L1182">
        <v>54001000</v>
      </c>
      <c r="M1182">
        <v>13001000</v>
      </c>
    </row>
    <row r="1183" spans="1:13">
      <c r="A1183" t="s">
        <v>134</v>
      </c>
      <c r="B1183" t="s">
        <v>281</v>
      </c>
      <c r="C1183" t="s">
        <v>119</v>
      </c>
      <c r="D1183" t="s">
        <v>274</v>
      </c>
      <c r="E1183" t="s">
        <v>237</v>
      </c>
      <c r="F1183" t="s">
        <v>238</v>
      </c>
      <c r="G1183" t="s">
        <v>7</v>
      </c>
      <c r="H1183" t="s">
        <v>217</v>
      </c>
      <c r="I1183" t="s">
        <v>217</v>
      </c>
      <c r="J1183" t="s">
        <v>7</v>
      </c>
      <c r="K1183" t="str">
        <f t="shared" si="18"/>
        <v>04240111</v>
      </c>
      <c r="L1183">
        <v>68081000</v>
      </c>
      <c r="M1183">
        <v>8433000</v>
      </c>
    </row>
    <row r="1184" spans="1:13">
      <c r="A1184" t="s">
        <v>148</v>
      </c>
      <c r="B1184" t="s">
        <v>294</v>
      </c>
      <c r="C1184" t="s">
        <v>119</v>
      </c>
      <c r="D1184" t="s">
        <v>274</v>
      </c>
      <c r="E1184" t="s">
        <v>237</v>
      </c>
      <c r="F1184" t="s">
        <v>238</v>
      </c>
      <c r="G1184" t="s">
        <v>7</v>
      </c>
      <c r="H1184" t="s">
        <v>217</v>
      </c>
      <c r="I1184" t="s">
        <v>217</v>
      </c>
      <c r="J1184" t="s">
        <v>7</v>
      </c>
      <c r="K1184" t="str">
        <f t="shared" si="18"/>
        <v>04370111</v>
      </c>
      <c r="L1184">
        <v>20011000</v>
      </c>
      <c r="M1184">
        <v>8433000</v>
      </c>
    </row>
    <row r="1185" spans="1:13">
      <c r="A1185" t="s">
        <v>129</v>
      </c>
      <c r="B1185" t="s">
        <v>280</v>
      </c>
      <c r="C1185" t="s">
        <v>159</v>
      </c>
      <c r="D1185" t="s">
        <v>279</v>
      </c>
      <c r="E1185" t="s">
        <v>237</v>
      </c>
      <c r="F1185" t="s">
        <v>238</v>
      </c>
      <c r="G1185" t="s">
        <v>7</v>
      </c>
      <c r="H1185" t="s">
        <v>217</v>
      </c>
      <c r="I1185" t="s">
        <v>217</v>
      </c>
      <c r="J1185" t="s">
        <v>7</v>
      </c>
      <c r="K1185" t="str">
        <f t="shared" si="18"/>
        <v>03810384</v>
      </c>
      <c r="L1185">
        <v>23001000</v>
      </c>
      <c r="M1185">
        <v>5154000</v>
      </c>
    </row>
    <row r="1186" spans="1:13">
      <c r="A1186" t="s">
        <v>123</v>
      </c>
      <c r="B1186" t="s">
        <v>263</v>
      </c>
      <c r="C1186" t="s">
        <v>162</v>
      </c>
      <c r="D1186" t="s">
        <v>245</v>
      </c>
      <c r="E1186" t="s">
        <v>237</v>
      </c>
      <c r="F1186" t="s">
        <v>238</v>
      </c>
      <c r="G1186" t="s">
        <v>7</v>
      </c>
      <c r="H1186" t="s">
        <v>217</v>
      </c>
      <c r="I1186" t="s">
        <v>217</v>
      </c>
      <c r="J1186" t="s">
        <v>7</v>
      </c>
      <c r="K1186" t="str">
        <f t="shared" si="18"/>
        <v>02920126</v>
      </c>
      <c r="L1186">
        <v>5360000</v>
      </c>
      <c r="M1186">
        <v>76001000</v>
      </c>
    </row>
    <row r="1187" spans="1:13">
      <c r="A1187" t="s">
        <v>123</v>
      </c>
      <c r="B1187" t="s">
        <v>263</v>
      </c>
      <c r="C1187" t="s">
        <v>130</v>
      </c>
      <c r="D1187" t="s">
        <v>247</v>
      </c>
      <c r="E1187" t="s">
        <v>237</v>
      </c>
      <c r="F1187" t="s">
        <v>238</v>
      </c>
      <c r="G1187" t="s">
        <v>7</v>
      </c>
      <c r="H1187" t="s">
        <v>217</v>
      </c>
      <c r="I1187" t="s">
        <v>217</v>
      </c>
      <c r="J1187" t="s">
        <v>7</v>
      </c>
      <c r="K1187" t="str">
        <f t="shared" si="18"/>
        <v>02920134</v>
      </c>
      <c r="L1187">
        <v>5360000</v>
      </c>
      <c r="M1187">
        <v>66170000</v>
      </c>
    </row>
    <row r="1188" spans="1:13">
      <c r="A1188" t="s">
        <v>123</v>
      </c>
      <c r="B1188" t="s">
        <v>263</v>
      </c>
      <c r="C1188" t="s">
        <v>185</v>
      </c>
      <c r="D1188" t="s">
        <v>257</v>
      </c>
      <c r="E1188" t="s">
        <v>237</v>
      </c>
      <c r="F1188" t="s">
        <v>238</v>
      </c>
      <c r="G1188" t="s">
        <v>7</v>
      </c>
      <c r="H1188" t="s">
        <v>217</v>
      </c>
      <c r="I1188" t="s">
        <v>217</v>
      </c>
      <c r="J1188" t="s">
        <v>7</v>
      </c>
      <c r="K1188" t="str">
        <f t="shared" si="18"/>
        <v>02920080</v>
      </c>
      <c r="L1188">
        <v>5360000</v>
      </c>
      <c r="M1188">
        <v>5042000</v>
      </c>
    </row>
    <row r="1189" spans="1:13">
      <c r="A1189" t="s">
        <v>123</v>
      </c>
      <c r="B1189" t="s">
        <v>263</v>
      </c>
      <c r="C1189" t="s">
        <v>155</v>
      </c>
      <c r="D1189" t="s">
        <v>248</v>
      </c>
      <c r="E1189" t="s">
        <v>237</v>
      </c>
      <c r="F1189" t="s">
        <v>238</v>
      </c>
      <c r="G1189" t="s">
        <v>7</v>
      </c>
      <c r="H1189" t="s">
        <v>217</v>
      </c>
      <c r="I1189" t="s">
        <v>217</v>
      </c>
      <c r="J1189" t="s">
        <v>7</v>
      </c>
      <c r="K1189" t="str">
        <f t="shared" si="18"/>
        <v>02920142</v>
      </c>
      <c r="L1189">
        <v>5360000</v>
      </c>
      <c r="M1189">
        <v>63001000</v>
      </c>
    </row>
    <row r="1190" spans="1:13">
      <c r="A1190" t="s">
        <v>123</v>
      </c>
      <c r="B1190" t="s">
        <v>263</v>
      </c>
      <c r="C1190" t="s">
        <v>143</v>
      </c>
      <c r="D1190" t="s">
        <v>266</v>
      </c>
      <c r="E1190" t="s">
        <v>237</v>
      </c>
      <c r="F1190" t="s">
        <v>238</v>
      </c>
      <c r="G1190" t="s">
        <v>7</v>
      </c>
      <c r="H1190" t="s">
        <v>217</v>
      </c>
      <c r="I1190" t="s">
        <v>217</v>
      </c>
      <c r="J1190" t="s">
        <v>7</v>
      </c>
      <c r="K1190" t="str">
        <f t="shared" si="18"/>
        <v>02920388</v>
      </c>
      <c r="L1190">
        <v>5001000</v>
      </c>
      <c r="M1190">
        <v>18001000</v>
      </c>
    </row>
    <row r="1191" spans="1:13">
      <c r="A1191" t="s">
        <v>123</v>
      </c>
      <c r="B1191" t="s">
        <v>263</v>
      </c>
      <c r="C1191" t="s">
        <v>176</v>
      </c>
      <c r="D1191" t="s">
        <v>261</v>
      </c>
      <c r="E1191" t="s">
        <v>237</v>
      </c>
      <c r="F1191" t="s">
        <v>238</v>
      </c>
      <c r="G1191" t="s">
        <v>7</v>
      </c>
      <c r="H1191" t="s">
        <v>217</v>
      </c>
      <c r="I1191" t="s">
        <v>217</v>
      </c>
      <c r="J1191" t="s">
        <v>7</v>
      </c>
      <c r="K1191" t="str">
        <f t="shared" si="18"/>
        <v>02920146</v>
      </c>
      <c r="L1191">
        <v>5360000</v>
      </c>
      <c r="M1191">
        <v>17001000</v>
      </c>
    </row>
    <row r="1192" spans="1:13">
      <c r="A1192" t="s">
        <v>123</v>
      </c>
      <c r="B1192" t="s">
        <v>263</v>
      </c>
      <c r="C1192" t="s">
        <v>139</v>
      </c>
      <c r="D1192" t="s">
        <v>273</v>
      </c>
      <c r="E1192" t="s">
        <v>237</v>
      </c>
      <c r="F1192" t="s">
        <v>238</v>
      </c>
      <c r="G1192" t="s">
        <v>7</v>
      </c>
      <c r="H1192" t="s">
        <v>217</v>
      </c>
      <c r="I1192" t="s">
        <v>217</v>
      </c>
      <c r="J1192" t="s">
        <v>7</v>
      </c>
      <c r="K1192" t="str">
        <f t="shared" si="18"/>
        <v>02920397</v>
      </c>
      <c r="L1192">
        <v>5360000</v>
      </c>
      <c r="M1192">
        <v>52356000</v>
      </c>
    </row>
    <row r="1193" spans="1:13">
      <c r="A1193" t="s">
        <v>123</v>
      </c>
      <c r="B1193" t="s">
        <v>263</v>
      </c>
      <c r="C1193" t="s">
        <v>153</v>
      </c>
      <c r="D1193" t="s">
        <v>249</v>
      </c>
      <c r="E1193" t="s">
        <v>237</v>
      </c>
      <c r="F1193" t="s">
        <v>238</v>
      </c>
      <c r="G1193" t="s">
        <v>7</v>
      </c>
      <c r="H1193" t="s">
        <v>217</v>
      </c>
      <c r="I1193" t="s">
        <v>217</v>
      </c>
      <c r="J1193" t="s">
        <v>7</v>
      </c>
      <c r="K1193" t="str">
        <f t="shared" si="18"/>
        <v>02920145</v>
      </c>
      <c r="L1193">
        <v>5360000</v>
      </c>
      <c r="M1193">
        <v>17001000</v>
      </c>
    </row>
    <row r="1194" spans="1:13">
      <c r="A1194" t="s">
        <v>123</v>
      </c>
      <c r="B1194" t="s">
        <v>263</v>
      </c>
      <c r="C1194" t="s">
        <v>127</v>
      </c>
      <c r="D1194" t="s">
        <v>268</v>
      </c>
      <c r="E1194" t="s">
        <v>237</v>
      </c>
      <c r="F1194" t="s">
        <v>238</v>
      </c>
      <c r="G1194" t="s">
        <v>7</v>
      </c>
      <c r="H1194" t="s">
        <v>217</v>
      </c>
      <c r="I1194" t="s">
        <v>217</v>
      </c>
      <c r="J1194" t="s">
        <v>7</v>
      </c>
      <c r="K1194" t="str">
        <f t="shared" si="18"/>
        <v>02920390</v>
      </c>
      <c r="L1194">
        <v>5360000</v>
      </c>
      <c r="M1194">
        <v>73001000</v>
      </c>
    </row>
    <row r="1195" spans="1:13">
      <c r="A1195" t="s">
        <v>123</v>
      </c>
      <c r="B1195" t="s">
        <v>263</v>
      </c>
      <c r="C1195" t="s">
        <v>126</v>
      </c>
      <c r="D1195" t="s">
        <v>267</v>
      </c>
      <c r="E1195" t="s">
        <v>237</v>
      </c>
      <c r="F1195" t="s">
        <v>238</v>
      </c>
      <c r="G1195" t="s">
        <v>7</v>
      </c>
      <c r="H1195" t="s">
        <v>217</v>
      </c>
      <c r="I1195" t="s">
        <v>217</v>
      </c>
      <c r="J1195" t="s">
        <v>7</v>
      </c>
      <c r="K1195" t="str">
        <f t="shared" si="18"/>
        <v>02920389</v>
      </c>
      <c r="L1195">
        <v>5360000</v>
      </c>
      <c r="M1195">
        <v>73001000</v>
      </c>
    </row>
    <row r="1196" spans="1:13">
      <c r="A1196" t="s">
        <v>123</v>
      </c>
      <c r="B1196" t="s">
        <v>263</v>
      </c>
      <c r="C1196" t="s">
        <v>118</v>
      </c>
      <c r="D1196" t="s">
        <v>112</v>
      </c>
      <c r="E1196" t="s">
        <v>237</v>
      </c>
      <c r="F1196" t="s">
        <v>238</v>
      </c>
      <c r="G1196" t="s">
        <v>7</v>
      </c>
      <c r="H1196" t="s">
        <v>217</v>
      </c>
      <c r="I1196" t="s">
        <v>217</v>
      </c>
      <c r="J1196" t="s">
        <v>7</v>
      </c>
      <c r="K1196" t="str">
        <f t="shared" si="18"/>
        <v>02920079</v>
      </c>
      <c r="L1196">
        <v>5360000</v>
      </c>
      <c r="M1196">
        <v>5088000</v>
      </c>
    </row>
    <row r="1197" spans="1:13">
      <c r="A1197" t="s">
        <v>123</v>
      </c>
      <c r="B1197" t="s">
        <v>263</v>
      </c>
      <c r="C1197" t="s">
        <v>125</v>
      </c>
      <c r="D1197" t="s">
        <v>277</v>
      </c>
      <c r="E1197" t="s">
        <v>237</v>
      </c>
      <c r="F1197" t="s">
        <v>238</v>
      </c>
      <c r="G1197" t="s">
        <v>7</v>
      </c>
      <c r="H1197" t="s">
        <v>217</v>
      </c>
      <c r="I1197" t="s">
        <v>217</v>
      </c>
      <c r="J1197" t="s">
        <v>7</v>
      </c>
      <c r="K1197" t="str">
        <f t="shared" si="18"/>
        <v>02920445</v>
      </c>
      <c r="L1197">
        <v>5360000</v>
      </c>
      <c r="M1197">
        <v>19142000</v>
      </c>
    </row>
    <row r="1198" spans="1:13">
      <c r="A1198" t="s">
        <v>123</v>
      </c>
      <c r="B1198" t="s">
        <v>263</v>
      </c>
      <c r="C1198" t="s">
        <v>140</v>
      </c>
      <c r="D1198" t="s">
        <v>243</v>
      </c>
      <c r="E1198" t="s">
        <v>237</v>
      </c>
      <c r="F1198" t="s">
        <v>238</v>
      </c>
      <c r="G1198" t="s">
        <v>7</v>
      </c>
      <c r="H1198" t="s">
        <v>217</v>
      </c>
      <c r="I1198" t="s">
        <v>217</v>
      </c>
      <c r="J1198" t="s">
        <v>7</v>
      </c>
      <c r="K1198" t="str">
        <f t="shared" si="18"/>
        <v>02920113</v>
      </c>
      <c r="L1198">
        <v>5360000</v>
      </c>
      <c r="M1198">
        <v>13001000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2026-09-02T00:40:24Z</dcterms:modified>
</cp:coreProperties>
</file>